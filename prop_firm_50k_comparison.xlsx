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ull Comparison" sheetId="2" state="visible" r:id="rId2"/>
    <sheet name="Five Account Cost Model" sheetId="3" state="visible" r:id="rId3"/>
    <sheet name="Rules Matrix" sheetId="4" state="visible" r:id="rId4"/>
    <sheet name="Payout Matrix" sheetId="5" state="visible" r:id="rId5"/>
    <sheet name="Reputation - Risk" sheetId="6" state="visible" r:id="rId6"/>
    <sheet name="Scores &amp; Dashboard" sheetId="7" state="visible" r:id="rId7"/>
    <sheet name="Source Links" sheetId="8" state="visible" r:id="rId8"/>
  </sheets>
  <definedNames>
    <definedName name="_xlnm._FilterDatabase" localSheetId="1" hidden="1">'Full Comparison'!$A$4:$AR$14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.00"/>
    <numFmt numFmtId="166" formatCode="0.0"/>
    <numFmt numFmtId="167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  <font>
      <b val="1"/>
      <color rgb="0017365D"/>
    </font>
    <font>
      <b val="1"/>
      <color rgb="0017365D"/>
      <sz val="14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D9EA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0" fontId="5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Estimated Cash Cost to First Payout: 5 Accounts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'Scores &amp; Dashboard'!M5</f>
            </strRef>
          </tx>
          <spPr>
            <a:ln>
              <a:prstDash val="solid"/>
            </a:ln>
          </spPr>
          <cat>
            <numRef>
              <f>'Scores &amp; Dashboard'!$A$6:$A$15</f>
            </numRef>
          </cat>
          <val>
            <numRef>
              <f>'Scores &amp; Dashboard'!$M$6:$M$15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Firm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Maximum First Payout Across 5 Accounts (Net)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'Scores &amp; Dashboard'!N5</f>
            </strRef>
          </tx>
          <spPr>
            <a:ln>
              <a:prstDash val="solid"/>
            </a:ln>
          </spPr>
          <cat>
            <numRef>
              <f>'Scores &amp; Dashboard'!$A$6:$A$15</f>
            </numRef>
          </cat>
          <val>
            <numRef>
              <f>'Scores &amp; Dashboard'!$N$6:$N$15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Cost vs Payout Flexibility</a:t>
            </a:r>
          </a:p>
        </rich>
      </tx>
    </title>
    <plotArea>
      <scatterChart>
        <ser>
          <idx val="0"/>
          <order val="0"/>
          <tx>
            <v>Firms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'Scores &amp; Dashboard'!$M$6:$M$15</f>
            </numRef>
          </xVal>
          <yVal>
            <numRef>
              <f>'Scores &amp; Dashboard'!$O$6:$O$15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Cash Cost to First Payout x5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Payout Flexibility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16</col>
      <colOff>0</colOff>
      <row>4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20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36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ullComparisonTable" displayName="FullComparisonTable" ref="A4:AR14" headerRowCount="1">
  <autoFilter ref="A4:AR14"/>
  <tableColumns count="44">
    <tableColumn id="1" name="Company"/>
    <tableColumn id="2" name="Plan"/>
    <tableColumn id="3" name="Account Size"/>
    <tableColumn id="4" name="Normal Eval Price"/>
    <tableColumn id="5" name="Promo / 5-Pack Price"/>
    <tableColumn id="6" name="Billing"/>
    <tableColumn id="7" name="Activation Fee"/>
    <tableColumn id="8" name="Funded Monthly Fee"/>
    <tableColumn id="9" name="Max Accounts"/>
    <tableColumn id="10" name="Five Funded Feasible?"/>
    <tableColumn id="11" name="Copy Trading"/>
    <tableColumn id="12" name="Platforms"/>
    <tableColumn id="13" name="Markets"/>
    <tableColumn id="14" name="Profit Target"/>
    <tableColumn id="15" name="Max Drawdown"/>
    <tableColumn id="16" name="Daily Loss Limit"/>
    <tableColumn id="17" name="Drawdown Type"/>
    <tableColumn id="18" name="Min Eval Days"/>
    <tableColumn id="19" name="Consistency"/>
    <tableColumn id="20" name="News Trading"/>
    <tableColumn id="21" name="Overnight"/>
    <tableColumn id="22" name="Weekend"/>
    <tableColumn id="23" name="Starting Contracts"/>
    <tableColumn id="24" name="Max Contracts"/>
    <tableColumn id="25" name="Automation / Bots"/>
    <tableColumn id="26" name="First Payout Eligibility"/>
    <tableColumn id="27" name="Payout Days"/>
    <tableColumn id="28" name="Min Payout"/>
    <tableColumn id="29" name="Max First Payout / Acct"/>
    <tableColumn id="30" name="Recurring Payout Cap"/>
    <tableColumn id="31" name="Profit Split"/>
    <tableColumn id="32" name="Payout Frequency"/>
    <tableColumn id="33" name="Buffer"/>
    <tableColumn id="34" name="Payout Effect"/>
    <tableColumn id="35" name="Tax / Contractor"/>
    <tableColumn id="36" name="Trustpilot"/>
    <tableColumn id="37" name="Review Count"/>
    <tableColumn id="38" name="Risk Grade"/>
    <tableColumn id="39" name="Common Complaints"/>
    <tableColumn id="40" name="Common Praise"/>
    <tableColumn id="41" name="Longevity"/>
    <tableColumn id="42" name="Transparency Note"/>
    <tableColumn id="43" name="Needs Verification"/>
    <tableColumn id="44" name="Primary Sourc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veAccountCostTable" displayName="FiveAccountCostTable" ref="A4:P14" headerRowCount="1">
  <autoFilter ref="A4:P14"/>
  <tableColumns count="16">
    <tableColumn id="1" name="Company"/>
    <tableColumn id="2" name="Plan"/>
    <tableColumn id="3" name="Normal Eval x5"/>
    <tableColumn id="4" name="Promo / Bundle Eval x5"/>
    <tableColumn id="5" name="Monthly Recurring x5"/>
    <tableColumn id="6" name="Activation x5"/>
    <tableColumn id="7" name="Funded Monthly x5"/>
    <tableColumn id="8" name="Cost to Funded (1 month)"/>
    <tableColumn id="9" name="Est. Cash Cost to First Payout"/>
    <tableColumn id="10" name="Trading Profit Needed to Unlock / Acct"/>
    <tableColumn id="11" name="Max First Payout x5 (Gross)"/>
    <tableColumn id="12" name="Max First Payout x5 (Net)"/>
    <tableColumn id="13" name="Realistic First Payout x5 (Net)"/>
    <tableColumn id="14" name="Break-Even Cash Amount"/>
    <tableColumn id="15" name="Five Funded Feasible?"/>
    <tableColumn id="1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ulesMatrixTable" displayName="RulesMatrixTable" ref="A4:M14" headerRowCount="1">
  <autoFilter ref="A4:M14"/>
  <tableColumns count="13">
    <tableColumn id="1" name="Company"/>
    <tableColumn id="2" name="Plan"/>
    <tableColumn id="3" name="Drawdown Type"/>
    <tableColumn id="4" name="Profit Target"/>
    <tableColumn id="5" name="Max Drawdown"/>
    <tableColumn id="6" name="Daily Loss Limit"/>
    <tableColumn id="7" name="Min Days"/>
    <tableColumn id="8" name="Consistency"/>
    <tableColumn id="9" name="News"/>
    <tableColumn id="10" name="Overnight"/>
    <tableColumn id="11" name="Contract Limits"/>
    <tableColumn id="12" name="Copy Trading"/>
    <tableColumn id="13" name="Autom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ayoutMatrixTable" displayName="PayoutMatrixTable" ref="A4:J14" headerRowCount="1">
  <autoFilter ref="A4:J14"/>
  <tableColumns count="10">
    <tableColumn id="1" name="Company"/>
    <tableColumn id="2" name="First Payout Timing"/>
    <tableColumn id="3" name="Required Days"/>
    <tableColumn id="4" name="Minimum Payout"/>
    <tableColumn id="5" name="Max First Payout"/>
    <tableColumn id="6" name="Recurring Cap"/>
    <tableColumn id="7" name="Profit Split"/>
    <tableColumn id="8" name="Frequency"/>
    <tableColumn id="9" name="Buffer Rules"/>
    <tableColumn id="10" name="Payout Effect / Cap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putationRiskTable" displayName="ReputationRiskTable" ref="A4:K14" headerRowCount="1">
  <autoFilter ref="A4:K14"/>
  <tableColumns count="11">
    <tableColumn id="1" name="Company"/>
    <tableColumn id="2" name="Trustpilot"/>
    <tableColumn id="3" name="Reviews"/>
    <tableColumn id="4" name="Common Complaints"/>
    <tableColumn id="5" name="Common Praise"/>
    <tableColumn id="6" name="Rule-Change Risk"/>
    <tableColumn id="7" name="Payout-Denial Risk"/>
    <tableColumn id="8" name="Overall Risk"/>
    <tableColumn id="9" name="Longevity"/>
    <tableColumn id="10" name="Transparency"/>
    <tableColumn id="11" name="Review 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corecardTable" displayName="ScorecardTable" ref="A5:O15" headerRowCount="1">
  <autoFilter ref="A5:O15"/>
  <tableColumns count="15">
    <tableColumn id="1" name="Company"/>
    <tableColumn id="2" name="Cost (1-10)"/>
    <tableColumn id="3" name="Rules (1-10)"/>
    <tableColumn id="4" name="Payout (1-10)"/>
    <tableColumn id="5" name="Multi-Account (1-10)"/>
    <tableColumn id="6" name="Reputation (1-10)"/>
    <tableColumn id="7" name="Cost Weight"/>
    <tableColumn id="8" name="Rules Weight"/>
    <tableColumn id="9" name="Payout Weight"/>
    <tableColumn id="10" name="Multi Weight"/>
    <tableColumn id="11" name="Reputation Weight"/>
    <tableColumn id="12" name="Weighted Score / 100"/>
    <tableColumn id="13" name="Cost to First Payout x5"/>
    <tableColumn id="14" name="Max First Payout x5 Net"/>
    <tableColumn id="15" name="Payout Flexibili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ourceLinksTable" displayName="SourceLinksTable" ref="A4:F39" headerRowCount="1">
  <autoFilter ref="A4:F39"/>
  <tableColumns count="6">
    <tableColumn id="1" name="ID"/>
    <tableColumn id="2" name="Source"/>
    <tableColumn id="3" name="Type"/>
    <tableColumn id="4" name="URL"/>
    <tableColumn id="5" name="Accessed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ustpilot.com/review/apextraderfunding.com" TargetMode="External" Id="rId1" /><Relationship Type="http://schemas.openxmlformats.org/officeDocument/2006/relationships/hyperlink" Target="https://www.trustpilot.com/review/alpha-futures.com" TargetMode="External" Id="rId2" /><Relationship Type="http://schemas.openxmlformats.org/officeDocument/2006/relationships/hyperlink" Target="https://www.trustpilot.com/review/tradeify.co" TargetMode="External" Id="rId3" /><Relationship Type="http://schemas.openxmlformats.org/officeDocument/2006/relationships/hyperlink" Target="https://www.trustpilot.com/review/lucidtrading.com" TargetMode="External" Id="rId4" /><Relationship Type="http://schemas.openxmlformats.org/officeDocument/2006/relationships/hyperlink" Target="https://www.trustpilot.com/review/topstep.com" TargetMode="External" Id="rId5" /><Relationship Type="http://schemas.openxmlformats.org/officeDocument/2006/relationships/hyperlink" Target="https://www.trustpilot.com/review/takeprofittrader.com" TargetMode="External" Id="rId6" /><Relationship Type="http://schemas.openxmlformats.org/officeDocument/2006/relationships/hyperlink" Target="https://www.trustpilot.com/review/myfundedfutures.com" TargetMode="External" Id="rId7" /><Relationship Type="http://schemas.openxmlformats.org/officeDocument/2006/relationships/hyperlink" Target="https://www.trustpilot.com/review/www.earn2trade.com" TargetMode="External" Id="rId8" /><Relationship Type="http://schemas.openxmlformats.org/officeDocument/2006/relationships/table" Target="/xl/tables/table5.xml" Id="rId9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6.xm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support.apextraderfunding.com/hc/en-us/articles/46724640813083-EOD-Evaluations" TargetMode="External" Id="rId1" /><Relationship Type="http://schemas.openxmlformats.org/officeDocument/2006/relationships/hyperlink" Target="https://support.apextraderfunding.com/hc/en-us/articles/47205823183003-EOD-Payouts" TargetMode="External" Id="rId2" /><Relationship Type="http://schemas.openxmlformats.org/officeDocument/2006/relationships/hyperlink" Target="https://propfirmmatch.com/futures/prop-firm-challenges/apex-trader-funding-standard-eod-1-step-50k" TargetMode="External" Id="rId3" /><Relationship Type="http://schemas.openxmlformats.org/officeDocument/2006/relationships/hyperlink" Target="https://help.alpha-futures.com/en/articles/9491980-alpha-futures-evaluation-qualified-trader-overview" TargetMode="External" Id="rId4" /><Relationship Type="http://schemas.openxmlformats.org/officeDocument/2006/relationships/hyperlink" Target="https://alpha-futures.com/how-it-works" TargetMode="External" Id="rId5" /><Relationship Type="http://schemas.openxmlformats.org/officeDocument/2006/relationships/hyperlink" Target="https://alpha-futures.com/terms-and-conditions" TargetMode="External" Id="rId6" /><Relationship Type="http://schemas.openxmlformats.org/officeDocument/2006/relationships/hyperlink" Target="https://help.tradeify.co/en/articles/14369021-tradeify-pricing-reference" TargetMode="External" Id="rId7" /><Relationship Type="http://schemas.openxmlformats.org/officeDocument/2006/relationships/hyperlink" Target="https://help.tradeify.co/en/articles/12853921-select-evaluation-accounts" TargetMode="External" Id="rId8" /><Relationship Type="http://schemas.openxmlformats.org/officeDocument/2006/relationships/hyperlink" Target="https://help.tradeify.co/en/articles/12853966-select-flex-and-select-daily-payout-policies" TargetMode="External" Id="rId9" /><Relationship Type="http://schemas.openxmlformats.org/officeDocument/2006/relationships/hyperlink" Target="https://www.lucidtrading.com/" TargetMode="External" Id="rId10" /><Relationship Type="http://schemas.openxmlformats.org/officeDocument/2006/relationships/hyperlink" Target="https://lucidtrading.com/product/lucidtest-50k/" TargetMode="External" Id="rId11" /><Relationship Type="http://schemas.openxmlformats.org/officeDocument/2006/relationships/hyperlink" Target="https://support.lucidtrading.com/en/articles/12890092-lucidpro-payouts" TargetMode="External" Id="rId12" /><Relationship Type="http://schemas.openxmlformats.org/officeDocument/2006/relationships/hyperlink" Target="https://help.topstep.com/en/articles/9208217-topstep-pricing" TargetMode="External" Id="rId13" /><Relationship Type="http://schemas.openxmlformats.org/officeDocument/2006/relationships/hyperlink" Target="https://help.topstep.com/en/articles/8284197-trading-combine-parameters" TargetMode="External" Id="rId14" /><Relationship Type="http://schemas.openxmlformats.org/officeDocument/2006/relationships/hyperlink" Target="https://help.topstep.com/en/articles/8284233-topstep-payout-policy/" TargetMode="External" Id="rId15" /><Relationship Type="http://schemas.openxmlformats.org/officeDocument/2006/relationships/hyperlink" Target="https://funded.now/propfirm/takeprofit-trader/50000" TargetMode="External" Id="rId16" /><Relationship Type="http://schemas.openxmlformats.org/officeDocument/2006/relationships/hyperlink" Target="https://takeprofittraderhelp.zendesk.com/hc/en-us/articles/15172219527581-PRO-Account-Profit-Split-Withdrawal-Rules" TargetMode="External" Id="rId17" /><Relationship Type="http://schemas.openxmlformats.org/officeDocument/2006/relationships/hyperlink" Target="https://myfundedfutures.com/plans/flex" TargetMode="External" Id="rId18" /><Relationship Type="http://schemas.openxmlformats.org/officeDocument/2006/relationships/hyperlink" Target="https://help.myfundedfutures.com/en/articles/11802636-traders-evaluation-simplified" TargetMode="External" Id="rId19" /><Relationship Type="http://schemas.openxmlformats.org/officeDocument/2006/relationships/hyperlink" Target="https://bulenox.com/member/signup" TargetMode="External" Id="rId20" /><Relationship Type="http://schemas.openxmlformats.org/officeDocument/2006/relationships/hyperlink" Target="https://bulenox.com/help/qualification-account/" TargetMode="External" Id="rId21" /><Relationship Type="http://schemas.openxmlformats.org/officeDocument/2006/relationships/hyperlink" Target="https://bulenox.com/help/master-account/" TargetMode="External" Id="rId22" /><Relationship Type="http://schemas.openxmlformats.org/officeDocument/2006/relationships/hyperlink" Target="https://www.earn2trade.com/purchase" TargetMode="External" Id="rId23" /><Relationship Type="http://schemas.openxmlformats.org/officeDocument/2006/relationships/hyperlink" Target="https://help.earn2trade.com/en/articles/5941958-what-are-the-trader-career-path-rules" TargetMode="External" Id="rId24" /><Relationship Type="http://schemas.openxmlformats.org/officeDocument/2006/relationships/hyperlink" Target="https://help.earn2trade.com/en/articles/6877574-what-offer-will-i-receive-upon-completing-the-trader-career-path" TargetMode="External" Id="rId25" /><Relationship Type="http://schemas.openxmlformats.org/officeDocument/2006/relationships/hyperlink" Target="https://shop.elitetraderfunding.com/products/50k-end-of-day-drawdown-evaluation-gift-card" TargetMode="External" Id="rId26" /><Relationship Type="http://schemas.openxmlformats.org/officeDocument/2006/relationships/hyperlink" Target="https://help.elitetraderfunding.com/help/etf-payout-amounts-by-account-type" TargetMode="External" Id="rId27" /><Relationship Type="http://schemas.openxmlformats.org/officeDocument/2006/relationships/hyperlink" Target="https://www.trustpilot.com/review/apextraderfunding.com" TargetMode="External" Id="rId28" /><Relationship Type="http://schemas.openxmlformats.org/officeDocument/2006/relationships/hyperlink" Target="https://www.trustpilot.com/review/alpha-futures.com" TargetMode="External" Id="rId29" /><Relationship Type="http://schemas.openxmlformats.org/officeDocument/2006/relationships/hyperlink" Target="https://www.trustpilot.com/review/tradeify.co" TargetMode="External" Id="rId30" /><Relationship Type="http://schemas.openxmlformats.org/officeDocument/2006/relationships/hyperlink" Target="https://www.trustpilot.com/review/lucidtrading.com" TargetMode="External" Id="rId31" /><Relationship Type="http://schemas.openxmlformats.org/officeDocument/2006/relationships/hyperlink" Target="https://www.trustpilot.com/review/topstep.com" TargetMode="External" Id="rId32" /><Relationship Type="http://schemas.openxmlformats.org/officeDocument/2006/relationships/hyperlink" Target="https://www.trustpilot.com/review/takeprofittrader.com" TargetMode="External" Id="rId33" /><Relationship Type="http://schemas.openxmlformats.org/officeDocument/2006/relationships/hyperlink" Target="https://www.trustpilot.com/review/myfundedfutures.com" TargetMode="External" Id="rId34" /><Relationship Type="http://schemas.openxmlformats.org/officeDocument/2006/relationships/hyperlink" Target="https://www.trustpilot.com/review/www.earn2trade.com" TargetMode="External" Id="rId35" /><Relationship Type="http://schemas.openxmlformats.org/officeDocument/2006/relationships/table" Target="/xl/tables/table7.xml" Id="rId36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15" customWidth="1" min="3" max="3"/>
    <col width="24" customWidth="1" min="4" max="4"/>
    <col width="26" customWidth="1" min="5" max="5"/>
    <col width="25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1" t="inlineStr">
        <is>
          <t>Executive Summary: 5 x $50K Futures Accounts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Research date: June 06, 2026. Verify checkout and rules immediately before purchase.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Recommendation</t>
        </is>
      </c>
      <c r="B4" s="5" t="inlineStr">
        <is>
          <t>Best overall for the stated five-account objective: Tradeify Select 50K. It combines a permanent 5-account bundle discount, one-time pricing, no activation fee, EOD drawdown, a selectable payout path, and current official documentation that is unusually clear.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6" t="inlineStr">
        <is>
          <t>Top 3</t>
        </is>
      </c>
      <c r="B6" s="7" t="inlineStr">
        <is>
          <t>1) Tradeify Select 50K  2) Topstep 50K Standard  3) LucidPro 50K</t>
        </is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6" t="inlineStr">
        <is>
          <t>Best low-cost normal path</t>
        </is>
      </c>
      <c r="B7" s="8" t="inlineStr">
        <is>
          <t>Topstep: $49/month + $149 activation per account; Tradeify is stronger if avoiding monthly rebills.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Best payout-friendly</t>
        </is>
      </c>
      <c r="B8" s="7" t="inlineStr">
        <is>
          <t>Take Profit Trader for daily access after its buffer; Tradeify/Lucid are stronger blends of cost and payout terms.</t>
        </is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6" t="inlineStr">
        <is>
          <t>Best rules / transparency</t>
        </is>
      </c>
      <c r="B9" s="8" t="inlineStr">
        <is>
          <t>Topstep for mature documentation; Tradeify for concise current product documentation.</t>
        </is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6" t="inlineStr">
        <is>
          <t>Best for copying 5 accounts</t>
        </is>
      </c>
      <c r="B10" s="7" t="inlineStr">
        <is>
          <t>Tradeify, then Topstep. Confirm copier and anti-hedging details in writing before scaling.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6" t="inlineStr">
        <is>
          <t>Highest-risk / verify</t>
        </is>
      </c>
      <c r="B11" s="8" t="inlineStr">
        <is>
          <t>Bulenox and Elite Trader Funding. Apex pricing is also highly promotion-sensitive.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6" t="inlineStr">
        <is>
          <t>Not eligible for the goal</t>
        </is>
      </c>
      <c r="B12" s="7" t="inlineStr">
        <is>
          <t>MFFU 50K Flex currently caps new traders at 3 sim-funded Flex accounts; Alpha also states 3 qualified accounts; Earn2Trade is not a stacking model.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6" t="inlineStr">
        <is>
          <t>Core red flag</t>
        </is>
      </c>
      <c r="B13" s="8" t="inlineStr">
        <is>
          <t>The advertised $50K is not true risk capital. Practical risk budget is usually the $2K-$2.5K drawdown, and payout withdrawals often shrink that cushion.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9" t="inlineStr">
        <is>
          <t>Top Firms by Weighted Score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4" t="inlineStr">
        <is>
          <t>Rank</t>
        </is>
      </c>
      <c r="B17" s="4" t="inlineStr">
        <is>
          <t>Company</t>
        </is>
      </c>
      <c r="C17" s="4" t="inlineStr">
        <is>
          <t>Score / 100</t>
        </is>
      </c>
      <c r="D17" s="4" t="inlineStr">
        <is>
          <t>Cost to First Payout x5</t>
        </is>
      </c>
      <c r="E17" s="4" t="inlineStr">
        <is>
          <t>Max First Payout x5 Net</t>
        </is>
      </c>
      <c r="F17" s="4" t="inlineStr">
        <is>
          <t>Five-Account Fit</t>
        </is>
      </c>
      <c r="G17" s="2" t="n"/>
      <c r="H17" s="2" t="n"/>
      <c r="I17" s="2" t="n"/>
      <c r="J17" s="2" t="n"/>
    </row>
    <row r="18">
      <c r="A18" s="2" t="n">
        <v>1</v>
      </c>
      <c r="B18" s="2" t="inlineStr">
        <is>
          <t>Tradeify</t>
        </is>
      </c>
      <c r="C18" s="10">
        <f>'Scores &amp; Dashboard'!L8</f>
        <v/>
      </c>
      <c r="D18" s="11">
        <f>'Five Account Cost Model'!I7</f>
        <v/>
      </c>
      <c r="E18" s="11">
        <f>'Five Account Cost Model'!L7</f>
        <v/>
      </c>
      <c r="F18" s="2" t="inlineStr">
        <is>
          <t>Yes</t>
        </is>
      </c>
      <c r="G18" s="2" t="n"/>
      <c r="H18" s="2" t="n"/>
      <c r="I18" s="2" t="n"/>
      <c r="J18" s="2" t="n"/>
    </row>
    <row r="19">
      <c r="A19" s="2" t="n">
        <v>2</v>
      </c>
      <c r="B19" s="2" t="inlineStr">
        <is>
          <t>Lucid Trading</t>
        </is>
      </c>
      <c r="C19" s="10">
        <f>'Scores &amp; Dashboard'!L9</f>
        <v/>
      </c>
      <c r="D19" s="11">
        <f>'Five Account Cost Model'!I8</f>
        <v/>
      </c>
      <c r="E19" s="11">
        <f>'Five Account Cost Model'!L8</f>
        <v/>
      </c>
      <c r="F19" s="2" t="inlineStr">
        <is>
          <t>Yes</t>
        </is>
      </c>
      <c r="G19" s="2" t="n"/>
      <c r="H19" s="2" t="n"/>
      <c r="I19" s="2" t="n"/>
      <c r="J19" s="2" t="n"/>
    </row>
    <row r="20">
      <c r="A20" s="2" t="n">
        <v>3</v>
      </c>
      <c r="B20" s="2" t="inlineStr">
        <is>
          <t>Topstep</t>
        </is>
      </c>
      <c r="C20" s="10">
        <f>'Scores &amp; Dashboard'!L10</f>
        <v/>
      </c>
      <c r="D20" s="11">
        <f>'Five Account Cost Model'!I9</f>
        <v/>
      </c>
      <c r="E20" s="11">
        <f>'Five Account Cost Model'!L9</f>
        <v/>
      </c>
      <c r="F20" s="2" t="inlineStr">
        <is>
          <t>Yes (5 active XFA max; verify purchase limits)</t>
        </is>
      </c>
      <c r="G20" s="2" t="n"/>
      <c r="H20" s="2" t="n"/>
      <c r="I20" s="2" t="n"/>
      <c r="J20" s="2" t="n"/>
    </row>
    <row r="21">
      <c r="A21" s="2" t="n">
        <v>4</v>
      </c>
      <c r="B21" s="2" t="inlineStr">
        <is>
          <t>Take Profit Trader</t>
        </is>
      </c>
      <c r="C21" s="10">
        <f>'Scores &amp; Dashboard'!L11</f>
        <v/>
      </c>
      <c r="D21" s="11">
        <f>'Five Account Cost Model'!I10</f>
        <v/>
      </c>
      <c r="E21" s="11">
        <f>'Five Account Cost Model'!L10</f>
        <v/>
      </c>
      <c r="F21" s="2" t="inlineStr">
        <is>
          <t>Yes</t>
        </is>
      </c>
      <c r="G21" s="2" t="n"/>
      <c r="H21" s="2" t="n"/>
      <c r="I21" s="2" t="n"/>
      <c r="J21" s="2" t="n"/>
    </row>
    <row r="22">
      <c r="A22" s="2" t="n">
        <v>5</v>
      </c>
      <c r="B22" s="2" t="inlineStr">
        <is>
          <t>Apex Trader Funding</t>
        </is>
      </c>
      <c r="C22" s="10">
        <f>'Scores &amp; Dashboard'!L6</f>
        <v/>
      </c>
      <c r="D22" s="11">
        <f>'Five Account Cost Model'!I5</f>
        <v/>
      </c>
      <c r="E22" s="11">
        <f>'Five Account Cost Model'!L5</f>
        <v/>
      </c>
      <c r="F22" s="2" t="inlineStr">
        <is>
          <t>Yes</t>
        </is>
      </c>
      <c r="G22" s="2" t="n"/>
      <c r="H22" s="2" t="n"/>
      <c r="I22" s="2" t="n"/>
      <c r="J22" s="2" t="n"/>
    </row>
    <row r="23">
      <c r="A23" s="2" t="n">
        <v>6</v>
      </c>
      <c r="B23" s="2" t="inlineStr">
        <is>
          <t>MyFundedFutures</t>
        </is>
      </c>
      <c r="C23" s="10">
        <f>'Scores &amp; Dashboard'!L12</f>
        <v/>
      </c>
      <c r="D23" s="11">
        <f>'Five Account Cost Model'!I11</f>
        <v/>
      </c>
      <c r="E23" s="11">
        <f>'Five Account Cost Model'!L11</f>
        <v/>
      </c>
      <c r="F23" s="2" t="inlineStr">
        <is>
          <t>No (new 50K Flex sim-funded cap is 3)</t>
        </is>
      </c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9" t="inlineStr">
        <is>
          <t>Method / Caveats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inlineStr">
        <is>
          <t>• Normal list price is used for cost scoring. Promo prices are shown separately because codes and discounts change frequently.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inlineStr">
        <is>
          <t>• Cost to first payout means cash fees paid, assuming a first-month pass and no resets. Required trading profit/buffer is shown separately.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inlineStr">
        <is>
          <t>• Maximum payout values are current stated cycle caps or a conservative modeling amount where the firm says payouts are uncapped.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inlineStr">
        <is>
          <t>• Review ratings are snapshots from Trustpilot on the research date and are not treated as proof. Complaint themes are allegations/themes, not adjudicated facts.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inlineStr">
        <is>
          <t>• All futures trading and evaluation fees involve substantial loss risk. This workbook is research, not financial, tax, or legal advice.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</sheetData>
  <mergeCells count="16">
    <mergeCell ref="B7:J7"/>
    <mergeCell ref="A1:J1"/>
    <mergeCell ref="B11:J11"/>
    <mergeCell ref="A31:J31"/>
    <mergeCell ref="B10:J10"/>
    <mergeCell ref="A27:J27"/>
    <mergeCell ref="A30:J30"/>
    <mergeCell ref="B9:J9"/>
    <mergeCell ref="A29:J29"/>
    <mergeCell ref="B8:J8"/>
    <mergeCell ref="B4:J4"/>
    <mergeCell ref="A2:J2"/>
    <mergeCell ref="B12:J12"/>
    <mergeCell ref="B13:J13"/>
    <mergeCell ref="A28:J28"/>
    <mergeCell ref="B6:J6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R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3" customWidth="1" min="3" max="3"/>
    <col width="16" customWidth="1" min="4" max="4"/>
    <col width="18" customWidth="1" min="5" max="5"/>
    <col width="20" customWidth="1" min="6" max="6"/>
    <col width="15" customWidth="1" min="7" max="7"/>
    <col width="17" customWidth="1" min="8" max="8"/>
    <col width="12" customWidth="1" min="9" max="9"/>
    <col width="20" customWidth="1" min="10" max="10"/>
    <col width="35" customWidth="1" min="11" max="11"/>
    <col width="42" customWidth="1" min="12" max="12"/>
    <col width="35" customWidth="1" min="13" max="13"/>
    <col width="14" customWidth="1" min="14" max="14"/>
    <col width="14" customWidth="1" min="15" max="15"/>
    <col width="27" customWidth="1" min="16" max="16"/>
    <col width="30" customWidth="1" min="17" max="17"/>
    <col width="13" customWidth="1" min="18" max="18"/>
    <col width="30" customWidth="1" min="19" max="19"/>
    <col width="25" customWidth="1" min="20" max="20"/>
    <col width="20" customWidth="1" min="21" max="21"/>
    <col width="12" customWidth="1" min="22" max="22"/>
    <col width="22" customWidth="1" min="23" max="23"/>
    <col width="22" customWidth="1" min="24" max="24"/>
    <col width="30" customWidth="1" min="25" max="25"/>
    <col width="35" customWidth="1" min="26" max="26"/>
    <col width="13" customWidth="1" min="27" max="27"/>
    <col width="14" customWidth="1" min="28" max="28"/>
    <col width="21" customWidth="1" min="29" max="29"/>
    <col width="34" customWidth="1" min="30" max="30"/>
    <col width="13" customWidth="1" min="31" max="31"/>
    <col width="25" customWidth="1" min="32" max="32"/>
    <col width="34" customWidth="1" min="33" max="33"/>
    <col width="32" customWidth="1" min="34" max="34"/>
    <col width="20" customWidth="1" min="35" max="35"/>
    <col width="12" customWidth="1" min="36" max="36"/>
    <col width="14" customWidth="1" min="37" max="37"/>
    <col width="12" customWidth="1" min="38" max="38"/>
    <col width="42" customWidth="1" min="39" max="39"/>
    <col width="42" customWidth="1" min="40" max="40"/>
    <col width="22" customWidth="1" min="41" max="41"/>
    <col width="35" customWidth="1" min="42" max="42"/>
    <col width="45" customWidth="1" min="43" max="43"/>
    <col width="60" customWidth="1" min="44" max="44"/>
  </cols>
  <sheetData>
    <row r="1" ht="30" customHeight="1">
      <c r="A1" s="1" t="inlineStr">
        <is>
          <t>50K Futures Prop Firm Full Comparison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A2" s="3" t="inlineStr">
        <is>
          <t>Public information researched as of 2026-06-06. Normal prices drive scoring; promos are separate.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</row>
    <row r="4">
      <c r="A4" s="4" t="inlineStr">
        <is>
          <t>Company</t>
        </is>
      </c>
      <c r="B4" s="4" t="inlineStr">
        <is>
          <t>Plan</t>
        </is>
      </c>
      <c r="C4" s="4" t="inlineStr">
        <is>
          <t>Account Size</t>
        </is>
      </c>
      <c r="D4" s="4" t="inlineStr">
        <is>
          <t>Normal Eval Price</t>
        </is>
      </c>
      <c r="E4" s="4" t="inlineStr">
        <is>
          <t>Promo / 5-Pack Price</t>
        </is>
      </c>
      <c r="F4" s="4" t="inlineStr">
        <is>
          <t>Billing</t>
        </is>
      </c>
      <c r="G4" s="4" t="inlineStr">
        <is>
          <t>Activation Fee</t>
        </is>
      </c>
      <c r="H4" s="4" t="inlineStr">
        <is>
          <t>Funded Monthly Fee</t>
        </is>
      </c>
      <c r="I4" s="4" t="inlineStr">
        <is>
          <t>Max Accounts</t>
        </is>
      </c>
      <c r="J4" s="4" t="inlineStr">
        <is>
          <t>Five Funded Feasible?</t>
        </is>
      </c>
      <c r="K4" s="4" t="inlineStr">
        <is>
          <t>Copy Trading</t>
        </is>
      </c>
      <c r="L4" s="4" t="inlineStr">
        <is>
          <t>Platforms</t>
        </is>
      </c>
      <c r="M4" s="4" t="inlineStr">
        <is>
          <t>Markets</t>
        </is>
      </c>
      <c r="N4" s="4" t="inlineStr">
        <is>
          <t>Profit Target</t>
        </is>
      </c>
      <c r="O4" s="4" t="inlineStr">
        <is>
          <t>Max Drawdown</t>
        </is>
      </c>
      <c r="P4" s="4" t="inlineStr">
        <is>
          <t>Daily Loss Limit</t>
        </is>
      </c>
      <c r="Q4" s="4" t="inlineStr">
        <is>
          <t>Drawdown Type</t>
        </is>
      </c>
      <c r="R4" s="4" t="inlineStr">
        <is>
          <t>Min Eval Days</t>
        </is>
      </c>
      <c r="S4" s="4" t="inlineStr">
        <is>
          <t>Consistency</t>
        </is>
      </c>
      <c r="T4" s="4" t="inlineStr">
        <is>
          <t>News Trading</t>
        </is>
      </c>
      <c r="U4" s="4" t="inlineStr">
        <is>
          <t>Overnight</t>
        </is>
      </c>
      <c r="V4" s="4" t="inlineStr">
        <is>
          <t>Weekend</t>
        </is>
      </c>
      <c r="W4" s="4" t="inlineStr">
        <is>
          <t>Starting Contracts</t>
        </is>
      </c>
      <c r="X4" s="4" t="inlineStr">
        <is>
          <t>Max Contracts</t>
        </is>
      </c>
      <c r="Y4" s="4" t="inlineStr">
        <is>
          <t>Automation / Bots</t>
        </is>
      </c>
      <c r="Z4" s="4" t="inlineStr">
        <is>
          <t>First Payout Eligibility</t>
        </is>
      </c>
      <c r="AA4" s="4" t="inlineStr">
        <is>
          <t>Payout Days</t>
        </is>
      </c>
      <c r="AB4" s="4" t="inlineStr">
        <is>
          <t>Min Payout</t>
        </is>
      </c>
      <c r="AC4" s="4" t="inlineStr">
        <is>
          <t>Max First Payout / Acct</t>
        </is>
      </c>
      <c r="AD4" s="4" t="inlineStr">
        <is>
          <t>Recurring Payout Cap</t>
        </is>
      </c>
      <c r="AE4" s="4" t="inlineStr">
        <is>
          <t>Profit Split</t>
        </is>
      </c>
      <c r="AF4" s="4" t="inlineStr">
        <is>
          <t>Payout Frequency</t>
        </is>
      </c>
      <c r="AG4" s="4" t="inlineStr">
        <is>
          <t>Buffer</t>
        </is>
      </c>
      <c r="AH4" s="4" t="inlineStr">
        <is>
          <t>Payout Effect</t>
        </is>
      </c>
      <c r="AI4" s="4" t="inlineStr">
        <is>
          <t>Tax / Contractor</t>
        </is>
      </c>
      <c r="AJ4" s="4" t="inlineStr">
        <is>
          <t>Trustpilot</t>
        </is>
      </c>
      <c r="AK4" s="4" t="inlineStr">
        <is>
          <t>Review Count</t>
        </is>
      </c>
      <c r="AL4" s="4" t="inlineStr">
        <is>
          <t>Risk Grade</t>
        </is>
      </c>
      <c r="AM4" s="4" t="inlineStr">
        <is>
          <t>Common Complaints</t>
        </is>
      </c>
      <c r="AN4" s="4" t="inlineStr">
        <is>
          <t>Common Praise</t>
        </is>
      </c>
      <c r="AO4" s="4" t="inlineStr">
        <is>
          <t>Longevity</t>
        </is>
      </c>
      <c r="AP4" s="4" t="inlineStr">
        <is>
          <t>Transparency Note</t>
        </is>
      </c>
      <c r="AQ4" s="4" t="inlineStr">
        <is>
          <t>Needs Verification</t>
        </is>
      </c>
      <c r="AR4" s="4" t="inlineStr">
        <is>
          <t>Primary Sources</t>
        </is>
      </c>
    </row>
    <row r="5">
      <c r="A5" s="2" t="inlineStr">
        <is>
          <t>Apex Trader Funding</t>
        </is>
      </c>
      <c r="B5" s="2" t="inlineStr">
        <is>
          <t>50K EOD Evaluation</t>
        </is>
      </c>
      <c r="C5" s="11" t="n">
        <v>50000</v>
      </c>
      <c r="D5" s="12" t="n">
        <v>450</v>
      </c>
      <c r="E5" s="12" t="n">
        <v>45</v>
      </c>
      <c r="F5" s="2" t="inlineStr">
        <is>
          <t>One-time / 30-day assessment</t>
        </is>
      </c>
      <c r="G5" s="12" t="n">
        <v>119</v>
      </c>
      <c r="H5" s="12" t="n">
        <v>0</v>
      </c>
      <c r="I5" s="2" t="n">
        <v>20</v>
      </c>
      <c r="J5" s="2" t="inlineStr">
        <is>
          <t>Yes</t>
        </is>
      </c>
      <c r="K5" s="2" t="inlineStr">
        <is>
          <t>Yes, own accounts; avoid prohibited coordination/hedging</t>
        </is>
      </c>
      <c r="L5" s="2" t="inlineStr">
        <is>
          <t>Rithmic/Tradovate ecosystem; NinjaTrader, TradingView, Quantower, Sierra Chart</t>
        </is>
      </c>
      <c r="M5" s="2" t="inlineStr">
        <is>
          <t>CME/CBOT/NYMEX/COMEX futures; verify product list</t>
        </is>
      </c>
      <c r="N5" s="12" t="n">
        <v>3000</v>
      </c>
      <c r="O5" s="12" t="n">
        <v>2000</v>
      </c>
      <c r="P5" s="2" t="inlineStr">
        <is>
          <t>$1,000 fixed session DLL</t>
        </is>
      </c>
      <c r="Q5" s="2" t="inlineStr">
        <is>
          <t>EOD trailing; enforced next session</t>
        </is>
      </c>
      <c r="R5" s="2" t="n">
        <v>1</v>
      </c>
      <c r="S5" s="2" t="inlineStr">
        <is>
          <t>None to pass; 50% at payout</t>
        </is>
      </c>
      <c r="T5" s="2" t="inlineStr">
        <is>
          <t>Allowed, subject to conduct rules</t>
        </is>
      </c>
      <c r="U5" s="2" t="inlineStr">
        <is>
          <t>Intraday only; flat by close</t>
        </is>
      </c>
      <c r="V5" s="2" t="inlineStr">
        <is>
          <t>No</t>
        </is>
      </c>
      <c r="W5" s="2" t="inlineStr">
        <is>
          <t>6 (official support page table should be rechecked at checkout)</t>
        </is>
      </c>
      <c r="X5" s="2" t="inlineStr">
        <is>
          <t>6</t>
        </is>
      </c>
      <c r="Y5" s="2" t="inlineStr">
        <is>
          <t>Restricted; verify current prohibited-conduct policy</t>
        </is>
      </c>
      <c r="Z5" s="2" t="inlineStr">
        <is>
          <t>After 5 qualifying days at $250+ each</t>
        </is>
      </c>
      <c r="AA5" s="2" t="n">
        <v>5</v>
      </c>
      <c r="AB5" s="12" t="n">
        <v>500</v>
      </c>
      <c r="AC5" s="12" t="n">
        <v>1500</v>
      </c>
      <c r="AD5" s="2" t="inlineStr">
        <is>
          <t>Payouts 1-6: $1.5k, $1.5k, $2k, $2.5k, $2.5k, $3k</t>
        </is>
      </c>
      <c r="AE5" s="13" t="n">
        <v>1</v>
      </c>
      <c r="AF5" s="2" t="inlineStr">
        <is>
          <t>Up to weekly</t>
        </is>
      </c>
      <c r="AG5" s="2" t="inlineStr">
        <is>
          <t>$2,100 safety net; $52,600 balance to request $500</t>
        </is>
      </c>
      <c r="AH5" s="2" t="inlineStr">
        <is>
          <t>Only profit above safety net withdrawable; PA closes after payout 6</t>
        </is>
      </c>
      <c r="AI5" s="2" t="inlineStr">
        <is>
          <t>Needs verification</t>
        </is>
      </c>
      <c r="AJ5" s="10" t="n">
        <v>4.3</v>
      </c>
      <c r="AK5" s="2" t="n">
        <v>19517</v>
      </c>
      <c r="AL5" s="2" t="inlineStr">
        <is>
          <t>Medium</t>
        </is>
      </c>
      <c r="AM5" s="2" t="inlineStr">
        <is>
          <t>Historical payout-review/rule-change complaints; promo/base pricing changes; strict conduct rules</t>
        </is>
      </c>
      <c r="AN5" s="2" t="inlineStr">
        <is>
          <t>Large community, broad platform support, 100% current payout split, up to 20 accounts</t>
        </is>
      </c>
      <c r="AO5" s="2" t="inlineStr">
        <is>
          <t>Operating since 2021</t>
        </is>
      </c>
      <c r="AP5" s="2" t="inlineStr">
        <is>
          <t>2026 program redesign; price is volatile and promo-led</t>
        </is>
      </c>
      <c r="AQ5" s="2" t="inlineStr">
        <is>
          <t>Normal $450 and $119 activation are volatile; confirm checkout before purchase.</t>
        </is>
      </c>
      <c r="AR5" s="2" t="inlineStr">
        <is>
          <t>https://support.apextraderfunding.com/hc/en-us/articles/46724640813083-EOD-Evaluations
https://support.apextraderfunding.com/hc/en-us/articles/47205823183003-EOD-Payouts
https://propfirmmatch.com/futures/prop-firm-challenges/apex-trader-funding-standard-eod-1-step-50k
https://www.trustpilot.com/review/apextraderfunding.com</t>
        </is>
      </c>
    </row>
    <row r="6">
      <c r="A6" s="2" t="inlineStr">
        <is>
          <t>Alpha Futures</t>
        </is>
      </c>
      <c r="B6" s="2" t="inlineStr">
        <is>
          <t>50K Standard Evaluation</t>
        </is>
      </c>
      <c r="C6" s="11" t="n">
        <v>50000</v>
      </c>
      <c r="D6" s="12" t="n">
        <v>79</v>
      </c>
      <c r="E6" s="12" t="n"/>
      <c r="F6" s="2" t="inlineStr">
        <is>
          <t>Monthly</t>
        </is>
      </c>
      <c r="G6" s="12" t="n">
        <v>149</v>
      </c>
      <c r="H6" s="12" t="n">
        <v>0</v>
      </c>
      <c r="I6" s="2" t="n">
        <v>3</v>
      </c>
      <c r="J6" s="2" t="inlineStr">
        <is>
          <t>No (3 qualified max)</t>
        </is>
      </c>
      <c r="K6" s="2" t="inlineStr">
        <is>
          <t>Own-account copying may be supported; copying another trader prohibited</t>
        </is>
      </c>
      <c r="L6" s="2" t="inlineStr">
        <is>
          <t>Tradovate/Rithmic options; platform details need verification</t>
        </is>
      </c>
      <c r="M6" s="2" t="inlineStr">
        <is>
          <t>CME futures; verify exact list</t>
        </is>
      </c>
      <c r="N6" s="12" t="n">
        <v>3000</v>
      </c>
      <c r="O6" s="12" t="n">
        <v>2000</v>
      </c>
      <c r="P6" s="2" t="inlineStr">
        <is>
          <t>None eval; 2% daily loss guard qualified</t>
        </is>
      </c>
      <c r="Q6" s="2" t="inlineStr">
        <is>
          <t>EOD trailing, locks near starting balance</t>
        </is>
      </c>
      <c r="R6" s="2" t="n">
        <v>2</v>
      </c>
      <c r="S6" s="2" t="inlineStr">
        <is>
          <t>50% eval; 40% Standard qualified</t>
        </is>
      </c>
      <c r="T6" s="2" t="inlineStr">
        <is>
          <t>Eval yes; funded varies by plan</t>
        </is>
      </c>
      <c r="U6" s="2" t="inlineStr">
        <is>
          <t>No; flat by 4:20 PM ET</t>
        </is>
      </c>
      <c r="V6" s="2" t="inlineStr">
        <is>
          <t>No</t>
        </is>
      </c>
      <c r="W6" s="2" t="inlineStr">
        <is>
          <t>Scaling plan</t>
        </is>
      </c>
      <c r="X6" s="2" t="inlineStr">
        <is>
          <t>5 minis / 50 micros</t>
        </is>
      </c>
      <c r="Y6" s="2" t="inlineStr">
        <is>
          <t>Algorithmic support reported; verify copier/bot policy</t>
        </is>
      </c>
      <c r="Z6" s="2" t="inlineStr">
        <is>
          <t>After 5 winning days of $200+</t>
        </is>
      </c>
      <c r="AA6" s="2" t="n">
        <v>5</v>
      </c>
      <c r="AB6" s="12" t="n">
        <v>200</v>
      </c>
      <c r="AC6" s="12" t="n">
        <v>1500</v>
      </c>
      <c r="AD6" s="2" t="inlineStr">
        <is>
          <t>$1,500/request on current 50K plan shown</t>
        </is>
      </c>
      <c r="AE6" s="13" t="n">
        <v>0.9</v>
      </c>
      <c r="AF6" s="2" t="inlineStr">
        <is>
          <t>Up to 4x/month</t>
        </is>
      </c>
      <c r="AG6" s="2" t="inlineStr">
        <is>
          <t>May withdraw up to 50% of profit/request</t>
        </is>
      </c>
      <c r="AH6" s="2" t="inlineStr">
        <is>
          <t>Drawdown protection remains important</t>
        </is>
      </c>
      <c r="AI6" s="2" t="inlineStr">
        <is>
          <t>Needs verification</t>
        </is>
      </c>
      <c r="AJ6" s="10" t="n">
        <v>4.9</v>
      </c>
      <c r="AK6" s="2" t="n">
        <v>3952</v>
      </c>
      <c r="AL6" s="2" t="inlineStr">
        <is>
          <t>Medium</t>
        </is>
      </c>
      <c r="AM6" s="2" t="inlineStr">
        <is>
          <t>New proprietary platform issues; plan naming/pricing changes; consistency complexity</t>
        </is>
      </c>
      <c r="AN6" s="2" t="inlineStr">
        <is>
          <t>Very high recent support ratings, EOD drawdown, fast support</t>
        </is>
      </c>
      <c r="AO6" s="2" t="inlineStr">
        <is>
          <t>Newer firm; shorter operating history than Topstep/Earn2Trade</t>
        </is>
      </c>
      <c r="AP6" s="2" t="inlineStr">
        <is>
          <t>Current site and help-center plan labels conflict in places</t>
        </is>
      </c>
      <c r="AQ6" s="2" t="inlineStr">
        <is>
          <t>Current site displays multiple plan variants. Confirm Standard price, activation fee, and five-account objective.</t>
        </is>
      </c>
      <c r="AR6" s="2" t="inlineStr">
        <is>
          <t>https://help.alpha-futures.com/en/articles/9491980-alpha-futures-evaluation-qualified-trader-overview
https://alpha-futures.com/how-it-works
https://alpha-futures.com/terms-and-conditions
https://www.trustpilot.com/review/alpha-futures.com</t>
        </is>
      </c>
    </row>
    <row r="7">
      <c r="A7" s="2" t="inlineStr">
        <is>
          <t>Tradeify</t>
        </is>
      </c>
      <c r="B7" s="2" t="inlineStr">
        <is>
          <t>50K Select Evaluation</t>
        </is>
      </c>
      <c r="C7" s="11" t="n">
        <v>50000</v>
      </c>
      <c r="D7" s="12" t="n">
        <v>165</v>
      </c>
      <c r="E7" s="12" t="n">
        <v>156.75</v>
      </c>
      <c r="F7" s="2" t="inlineStr">
        <is>
          <t>One-time; 5-account bundle gets 5% off</t>
        </is>
      </c>
      <c r="G7" s="12" t="n">
        <v>0</v>
      </c>
      <c r="H7" s="12" t="n">
        <v>0</v>
      </c>
      <c r="I7" s="2" t="n">
        <v>5</v>
      </c>
      <c r="J7" s="2" t="inlineStr">
        <is>
          <t>Yes</t>
        </is>
      </c>
      <c r="K7" s="2" t="inlineStr">
        <is>
          <t>Yes across own accounts; no hedging/circumvention</t>
        </is>
      </c>
      <c r="L7" s="2" t="inlineStr">
        <is>
          <t>Tradovate, Rithmic, WealthCharts; NinjaTrader, TradingView, Quantower, Sierra Chart</t>
        </is>
      </c>
      <c r="M7" s="2" t="inlineStr">
        <is>
          <t>CME-group futures; verify exact broker product list</t>
        </is>
      </c>
      <c r="N7" s="12" t="n">
        <v>3000</v>
      </c>
      <c r="O7" s="12" t="n">
        <v>2000</v>
      </c>
      <c r="P7" s="2" t="inlineStr">
        <is>
          <t>None in Select eval/Flex funded</t>
        </is>
      </c>
      <c r="Q7" s="2" t="inlineStr">
        <is>
          <t>EOD trailing; locks at $50,100</t>
        </is>
      </c>
      <c r="R7" s="2" t="n">
        <v>3</v>
      </c>
      <c r="S7" s="2" t="inlineStr">
        <is>
          <t>40% eval; none on Select Flex funded</t>
        </is>
      </c>
      <c r="T7" s="2" t="inlineStr">
        <is>
          <t>Allowed with restrictions around prohibited conduct</t>
        </is>
      </c>
      <c r="U7" s="2" t="inlineStr">
        <is>
          <t>Needs verification</t>
        </is>
      </c>
      <c r="V7" s="2" t="inlineStr">
        <is>
          <t>No</t>
        </is>
      </c>
      <c r="W7" s="2" t="inlineStr">
        <is>
          <t>2 minis / 20 micros funded</t>
        </is>
      </c>
      <c r="X7" s="2" t="inlineStr">
        <is>
          <t>4 minis / 40 micros</t>
        </is>
      </c>
      <c r="Y7" s="2" t="inlineStr">
        <is>
          <t>Copiers supported; automation policy needs verification</t>
        </is>
      </c>
      <c r="Z7" s="2" t="inlineStr">
        <is>
          <t>Select Flex after 5 winning days; Daily path can qualify daily</t>
        </is>
      </c>
      <c r="AA7" s="2" t="n">
        <v>5</v>
      </c>
      <c r="AB7" s="12" t="n">
        <v>250</v>
      </c>
      <c r="AC7" s="12" t="n">
        <v>2000</v>
      </c>
      <c r="AD7" s="2" t="inlineStr">
        <is>
          <t>Flex: generally 50% of profit; Daily capped $1,000 on 50K</t>
        </is>
      </c>
      <c r="AE7" s="13" t="n">
        <v>0.9</v>
      </c>
      <c r="AF7" s="2" t="inlineStr">
        <is>
          <t>Daily eligibility depending on selected path</t>
        </is>
      </c>
      <c r="AG7" s="2" t="inlineStr">
        <is>
          <t>Path-specific; Select Flex lock trigger $52,100</t>
        </is>
      </c>
      <c r="AH7" s="2" t="inlineStr">
        <is>
          <t>MLL locks at $50,100 after threshold/payout mechanics</t>
        </is>
      </c>
      <c r="AI7" s="2" t="inlineStr">
        <is>
          <t>Needs verification</t>
        </is>
      </c>
      <c r="AJ7" s="10" t="n">
        <v>4.6</v>
      </c>
      <c r="AK7" s="2" t="n">
        <v>2961</v>
      </c>
      <c r="AL7" s="14" t="inlineStr">
        <is>
          <t>Low</t>
        </is>
      </c>
      <c r="AM7" s="2" t="inlineStr">
        <is>
          <t>Some KYC/account closure and support-resolution complaints; rules have evolved quickly</t>
        </is>
      </c>
      <c r="AN7" s="2" t="inlineStr">
        <is>
          <t>Fast payouts/support, one-time pricing, permanent five-pack discount, flexible payout path</t>
        </is>
      </c>
      <c r="AO7" s="2" t="inlineStr">
        <is>
          <t>Launched 2024</t>
        </is>
      </c>
      <c r="AP7" s="2" t="inlineStr">
        <is>
          <t>Excellent current pricing/rules documentation</t>
        </is>
      </c>
      <c r="AQ7" s="2" t="inlineStr">
        <is>
          <t>Overnight and automation specifics should be confirmed for selected broker/path.</t>
        </is>
      </c>
      <c r="AR7" s="2" t="inlineStr">
        <is>
          <t>https://help.tradeify.co/en/articles/14369021-tradeify-pricing-reference
https://help.tradeify.co/en/articles/12853921-select-evaluation-accounts
https://help.tradeify.co/en/articles/12853966-select-flex-and-select-daily-payout-policies
https://www.trustpilot.com/review/tradeify.co</t>
        </is>
      </c>
    </row>
    <row r="8">
      <c r="A8" s="2" t="inlineStr">
        <is>
          <t>Lucid Trading</t>
        </is>
      </c>
      <c r="B8" s="2" t="inlineStr">
        <is>
          <t>50K LucidPro Evaluation</t>
        </is>
      </c>
      <c r="C8" s="11" t="n">
        <v>50000</v>
      </c>
      <c r="D8" s="12" t="n">
        <v>185</v>
      </c>
      <c r="E8" s="12" t="n">
        <v>129.5</v>
      </c>
      <c r="F8" s="2" t="inlineStr">
        <is>
          <t>One-time</t>
        </is>
      </c>
      <c r="G8" s="12" t="n">
        <v>0</v>
      </c>
      <c r="H8" s="12" t="n">
        <v>0</v>
      </c>
      <c r="I8" s="2" t="n">
        <v>5</v>
      </c>
      <c r="J8" s="2" t="inlineStr">
        <is>
          <t>Yes</t>
        </is>
      </c>
      <c r="K8" s="2" t="inlineStr">
        <is>
          <t>Own-account copying appears supported; confirm current automation policy</t>
        </is>
      </c>
      <c r="L8" s="2" t="inlineStr">
        <is>
          <t>NinjaTrader, Tradovate, Rithmic, MotiveWave, Quantower</t>
        </is>
      </c>
      <c r="M8" s="2" t="inlineStr">
        <is>
          <t>CME-group futures; verify product list</t>
        </is>
      </c>
      <c r="N8" s="12" t="n">
        <v>3000</v>
      </c>
      <c r="O8" s="12" t="n">
        <v>2000</v>
      </c>
      <c r="P8" s="2" t="inlineStr">
        <is>
          <t>$1,200</t>
        </is>
      </c>
      <c r="Q8" s="2" t="inlineStr">
        <is>
          <t>EOD trailing</t>
        </is>
      </c>
      <c r="R8" s="2" t="n">
        <v>1</v>
      </c>
      <c r="S8" s="2" t="inlineStr">
        <is>
          <t>None eval; 40% funded payout cycle</t>
        </is>
      </c>
      <c r="T8" s="2" t="inlineStr">
        <is>
          <t>Needs verification by plan</t>
        </is>
      </c>
      <c r="U8" s="2" t="inlineStr">
        <is>
          <t>Needs verification</t>
        </is>
      </c>
      <c r="V8" s="2" t="inlineStr">
        <is>
          <t>No</t>
        </is>
      </c>
      <c r="W8" s="2" t="inlineStr">
        <is>
          <t>4 minis / 40 micros</t>
        </is>
      </c>
      <c r="X8" s="2" t="inlineStr">
        <is>
          <t>4 minis / 40 micros</t>
        </is>
      </c>
      <c r="Y8" s="2" t="inlineStr">
        <is>
          <t>Needs verification in writing</t>
        </is>
      </c>
      <c r="Z8" s="2" t="inlineStr">
        <is>
          <t>Any day after $500 cycle profit, 40% consistency, and buffer</t>
        </is>
      </c>
      <c r="AA8" s="2" t="n">
        <v>3</v>
      </c>
      <c r="AB8" s="12" t="n">
        <v>500</v>
      </c>
      <c r="AC8" s="12" t="n">
        <v>2000</v>
      </c>
      <c r="AD8" s="2" t="inlineStr">
        <is>
          <t>$2,500 from payout 2 onward</t>
        </is>
      </c>
      <c r="AE8" s="13" t="n">
        <v>0.9</v>
      </c>
      <c r="AF8" s="2" t="inlineStr">
        <is>
          <t>On demand; no fixed window</t>
        </is>
      </c>
      <c r="AG8" s="2" t="inlineStr">
        <is>
          <t>$52,100; payout only above buffer</t>
        </is>
      </c>
      <c r="AH8" s="2" t="inlineStr">
        <is>
          <t>Payout reduces cushion above locked loss floor</t>
        </is>
      </c>
      <c r="AI8" s="2" t="inlineStr">
        <is>
          <t>Needs verification</t>
        </is>
      </c>
      <c r="AJ8" s="10" t="n">
        <v>4.7</v>
      </c>
      <c r="AK8" s="2" t="n">
        <v>4125</v>
      </c>
      <c r="AL8" s="2" t="inlineStr">
        <is>
          <t>Medium</t>
        </is>
      </c>
      <c r="AM8" s="2" t="inlineStr">
        <is>
          <t>Some closures/automation disputes and support delays; company is relatively new</t>
        </is>
      </c>
      <c r="AN8" s="2" t="inlineStr">
        <is>
          <t>Very fast payout reports, clean dashboard, clear payout article, no activation fee</t>
        </is>
      </c>
      <c r="AO8" s="2" t="inlineStr">
        <is>
          <t>Operating since 2025</t>
        </is>
      </c>
      <c r="AP8" s="2" t="inlineStr">
        <is>
          <t>Good help center; checkout pricing/promos change</t>
        </is>
      </c>
      <c r="AQ8" s="2" t="inlineStr">
        <is>
          <t>Obtain written confirmation for bots/copiers, news and overnight policy.</t>
        </is>
      </c>
      <c r="AR8" s="2" t="inlineStr">
        <is>
          <t>https://www.lucidtrading.com/
https://lucidtrading.com/product/lucidtest-50k/
https://support.lucidtrading.com/en/articles/12890092-lucidpro-payouts
https://www.trustpilot.com/review/lucidtrading.com</t>
        </is>
      </c>
    </row>
    <row r="9">
      <c r="A9" s="2" t="inlineStr">
        <is>
          <t>Topstep</t>
        </is>
      </c>
      <c r="B9" s="2" t="inlineStr">
        <is>
          <t>50K Standard Trading Combine</t>
        </is>
      </c>
      <c r="C9" s="11" t="n">
        <v>50000</v>
      </c>
      <c r="D9" s="12" t="n">
        <v>49</v>
      </c>
      <c r="E9" s="12" t="n"/>
      <c r="F9" s="2" t="inlineStr">
        <is>
          <t>Monthly</t>
        </is>
      </c>
      <c r="G9" s="12" t="n">
        <v>149</v>
      </c>
      <c r="H9" s="12" t="n">
        <v>0</v>
      </c>
      <c r="I9" s="2" t="n">
        <v>5</v>
      </c>
      <c r="J9" s="2" t="inlineStr">
        <is>
          <t>Yes (5 active XFA max; verify purchase limits)</t>
        </is>
      </c>
      <c r="K9" s="2" t="inlineStr">
        <is>
          <t>TopstepX trade copier available; strict no cross-account hedging</t>
        </is>
      </c>
      <c r="L9" s="2" t="inlineStr">
        <is>
          <t>TopstepX; supported third-party availability varies</t>
        </is>
      </c>
      <c r="M9" s="2" t="inlineStr">
        <is>
          <t>Major CME-group futures supported</t>
        </is>
      </c>
      <c r="N9" s="12" t="n">
        <v>3000</v>
      </c>
      <c r="O9" s="12" t="n">
        <v>2000</v>
      </c>
      <c r="P9" s="2" t="inlineStr">
        <is>
          <t>Optional soft DLL discount; no required DLL in Combine</t>
        </is>
      </c>
      <c r="Q9" s="2" t="inlineStr">
        <is>
          <t>Trailing Maximum Loss Limit based on balance</t>
        </is>
      </c>
      <c r="R9" s="2" t="n">
        <v>2</v>
      </c>
      <c r="S9" s="2" t="inlineStr">
        <is>
          <t>50% Combine; choose Standard or 40% Consistency XFA</t>
        </is>
      </c>
      <c r="T9" s="2" t="inlineStr">
        <is>
          <t>Generally allowed; follow permitted trading hours</t>
        </is>
      </c>
      <c r="U9" s="2" t="inlineStr">
        <is>
          <t>No; intraday futures hours</t>
        </is>
      </c>
      <c r="V9" s="2" t="inlineStr">
        <is>
          <t>No</t>
        </is>
      </c>
      <c r="W9" s="2" t="inlineStr">
        <is>
          <t>Scaling plan in funded</t>
        </is>
      </c>
      <c r="X9" s="2" t="inlineStr">
        <is>
          <t>5 minis / 50 micros in Combine</t>
        </is>
      </c>
      <c r="Y9" s="2" t="inlineStr">
        <is>
          <t>Trade copier supported; automation subject to prohibited-conduct rules</t>
        </is>
      </c>
      <c r="Z9" s="2" t="inlineStr">
        <is>
          <t>Standard: 5 days $150+; Consistency: 3 days plus 40%</t>
        </is>
      </c>
      <c r="AA9" s="2" t="n">
        <v>5</v>
      </c>
      <c r="AB9" s="12" t="n">
        <v>125</v>
      </c>
      <c r="AC9" s="12" t="n">
        <v>2000</v>
      </c>
      <c r="AD9" s="2" t="inlineStr">
        <is>
          <t>$2,000 Standard / $3,000 Consistency per request on new 50K</t>
        </is>
      </c>
      <c r="AE9" s="13" t="n">
        <v>0.9</v>
      </c>
      <c r="AF9" s="2" t="inlineStr">
        <is>
          <t>Weekly; daily after 30 winning live days</t>
        </is>
      </c>
      <c r="AG9" s="2" t="inlineStr">
        <is>
          <t>Can request 50% of account balance/profit subject to cap</t>
        </is>
      </c>
      <c r="AH9" s="2" t="inlineStr">
        <is>
          <t>Payout can reduce buying power and account cushion</t>
        </is>
      </c>
      <c r="AI9" s="2" t="inlineStr">
        <is>
          <t>Contractor payout process; verify current tax provider</t>
        </is>
      </c>
      <c r="AJ9" s="10" t="n">
        <v>3.5</v>
      </c>
      <c r="AK9" s="2" t="n">
        <v>14166</v>
      </c>
      <c r="AL9" s="14" t="inlineStr">
        <is>
          <t>Low</t>
        </is>
      </c>
      <c r="AM9" s="2" t="inlineStr">
        <is>
          <t>Strict hedging enforcement, subscription billing complaints, platform incidents</t>
        </is>
      </c>
      <c r="AN9" s="2" t="inlineStr">
        <is>
          <t>12+ year history, real live progression, strong education, clear official help center</t>
        </is>
      </c>
      <c r="AO9" s="2" t="inlineStr">
        <is>
          <t>Founded 2012</t>
        </is>
      </c>
      <c r="AP9" s="2" t="inlineStr">
        <is>
          <t>Best-in-class official documentation, though rules update often</t>
        </is>
      </c>
      <c r="AQ9" s="2" t="inlineStr">
        <is>
          <t>Confirm current XFA count and selected payout path immediately before purchase.</t>
        </is>
      </c>
      <c r="AR9" s="2" t="inlineStr">
        <is>
          <t>https://help.topstep.com/en/articles/9208217-topstep-pricing
https://help.topstep.com/en/articles/8284197-trading-combine-parameters
https://help.topstep.com/en/articles/8284233-topstep-payout-policy/
https://www.trustpilot.com/review/topstep.com</t>
        </is>
      </c>
    </row>
    <row r="10">
      <c r="A10" s="2" t="inlineStr">
        <is>
          <t>Take Profit Trader</t>
        </is>
      </c>
      <c r="B10" s="2" t="inlineStr">
        <is>
          <t>50K Test</t>
        </is>
      </c>
      <c r="C10" s="11" t="n">
        <v>50000</v>
      </c>
      <c r="D10" s="12" t="n">
        <v>170</v>
      </c>
      <c r="E10" s="12" t="n">
        <v>85</v>
      </c>
      <c r="F10" s="2" t="inlineStr">
        <is>
          <t>Monthly</t>
        </is>
      </c>
      <c r="G10" s="12" t="n">
        <v>130</v>
      </c>
      <c r="H10" s="12" t="n">
        <v>0</v>
      </c>
      <c r="I10" s="2" t="n">
        <v>5</v>
      </c>
      <c r="J10" s="2" t="inlineStr">
        <is>
          <t>Yes</t>
        </is>
      </c>
      <c r="K10" s="2" t="inlineStr">
        <is>
          <t>Yes across own accounts; no hedging</t>
        </is>
      </c>
      <c r="L10" s="2" t="inlineStr">
        <is>
          <t>Rithmic/Tradovate; NinjaTrader, TradingView, Quantower and others</t>
        </is>
      </c>
      <c r="M10" s="2" t="inlineStr">
        <is>
          <t>CME-group futures</t>
        </is>
      </c>
      <c r="N10" s="12" t="n">
        <v>3000</v>
      </c>
      <c r="O10" s="12" t="n">
        <v>2000</v>
      </c>
      <c r="P10" s="2" t="inlineStr">
        <is>
          <t>None on current Test; confirm at checkout</t>
        </is>
      </c>
      <c r="Q10" s="2" t="inlineStr">
        <is>
          <t>EOD trailing in Test; PRO mechanics tighten around buffer</t>
        </is>
      </c>
      <c r="R10" s="2" t="n">
        <v>5</v>
      </c>
      <c r="S10" s="2" t="inlineStr">
        <is>
          <t>50% Test; none PRO</t>
        </is>
      </c>
      <c r="T10" s="2" t="inlineStr">
        <is>
          <t>Allowed</t>
        </is>
      </c>
      <c r="U10" s="2" t="inlineStr">
        <is>
          <t>No</t>
        </is>
      </c>
      <c r="V10" s="2" t="inlineStr">
        <is>
          <t>No</t>
        </is>
      </c>
      <c r="W10" s="2" t="inlineStr">
        <is>
          <t>Scaling plan</t>
        </is>
      </c>
      <c r="X10" s="2" t="inlineStr">
        <is>
          <t>6 minis / 60 micros</t>
        </is>
      </c>
      <c r="Y10" s="2" t="inlineStr">
        <is>
          <t>Copiers allowed; bots/EAs restricted</t>
        </is>
      </c>
      <c r="Z10" s="2" t="inlineStr">
        <is>
          <t>Day one after reaching $52,000 buffer</t>
        </is>
      </c>
      <c r="AA10" s="2" t="n">
        <v>1</v>
      </c>
      <c r="AB10" s="12" t="n">
        <v>0</v>
      </c>
      <c r="AC10" s="12" t="n">
        <v>5000</v>
      </c>
      <c r="AD10" s="2" t="inlineStr">
        <is>
          <t>No stated cycle cap above buffer; firm may move trader to PRO+ live</t>
        </is>
      </c>
      <c r="AE10" s="13" t="n">
        <v>0.8</v>
      </c>
      <c r="AF10" s="2" t="inlineStr">
        <is>
          <t>Daily/on demand</t>
        </is>
      </c>
      <c r="AG10" s="2" t="inlineStr">
        <is>
          <t>$2,000 buffer; normal withdrawals only once balance reaches $52,000</t>
        </is>
      </c>
      <c r="AH10" s="2" t="inlineStr">
        <is>
          <t>Withdrawing above buffer preserves floor; inside-buffer withdrawal generally terminates account</t>
        </is>
      </c>
      <c r="AI10" s="2" t="inlineStr">
        <is>
          <t>Needs verification</t>
        </is>
      </c>
      <c r="AJ10" s="10" t="n">
        <v>4.4</v>
      </c>
      <c r="AK10" s="2" t="n">
        <v>9562</v>
      </c>
      <c r="AL10" s="2" t="inlineStr">
        <is>
          <t>Medium</t>
        </is>
      </c>
      <c r="AM10" s="2" t="inlineStr">
        <is>
          <t>PRO+ transition/support delays; conflicting third-party drawdown figures; monthly cost</t>
        </is>
      </c>
      <c r="AN10" s="2" t="inlineStr">
        <is>
          <t>Daily withdrawals, long payout history, responsive support, clear core buffer concept</t>
        </is>
      </c>
      <c r="AO10" s="2" t="inlineStr">
        <is>
          <t>Operating since 2022</t>
        </is>
      </c>
      <c r="AP10" s="2" t="inlineStr">
        <is>
          <t>Official help center clear on payouts; public pricing page less searchable</t>
        </is>
      </c>
      <c r="AQ10" s="2" t="inlineStr">
        <is>
          <t>Confirm current $2,000 drawdown, $130 activation, and PRO+ transition policy.</t>
        </is>
      </c>
      <c r="AR10" s="2" t="inlineStr">
        <is>
          <t>https://funded.now/propfirm/takeprofit-trader/50000
https://takeprofittraderhelp.zendesk.com/hc/en-us/articles/15172219527581-PRO-Account-Profit-Split-Withdrawal-Rules
https://www.trustpilot.com/review/takeprofittrader.com</t>
        </is>
      </c>
    </row>
    <row r="11">
      <c r="A11" s="2" t="inlineStr">
        <is>
          <t>MyFundedFutures</t>
        </is>
      </c>
      <c r="B11" s="2" t="inlineStr">
        <is>
          <t>50K Flex</t>
        </is>
      </c>
      <c r="C11" s="11" t="n">
        <v>50000</v>
      </c>
      <c r="D11" s="12" t="n">
        <v>153</v>
      </c>
      <c r="E11" s="12" t="n">
        <v>77</v>
      </c>
      <c r="F11" s="2" t="inlineStr">
        <is>
          <t>Monthly</t>
        </is>
      </c>
      <c r="G11" s="12" t="n">
        <v>0</v>
      </c>
      <c r="H11" s="12" t="n">
        <v>0</v>
      </c>
      <c r="I11" s="2" t="n">
        <v>3</v>
      </c>
      <c r="J11" s="2" t="inlineStr">
        <is>
          <t>No (new 50K Flex sim-funded cap is 3)</t>
        </is>
      </c>
      <c r="K11" s="2" t="inlineStr">
        <is>
          <t>Own-account copier supported subject to anti-hedging rules</t>
        </is>
      </c>
      <c r="L11" s="2" t="inlineStr">
        <is>
          <t>NinjaTrader, TradingView, Quantower, Tradovate and partner platforms</t>
        </is>
      </c>
      <c r="M11" s="2" t="inlineStr">
        <is>
          <t>CME/CBOT/NYMEX/COMEX futures</t>
        </is>
      </c>
      <c r="N11" s="12" t="n">
        <v>3000</v>
      </c>
      <c r="O11" s="12" t="n">
        <v>2000</v>
      </c>
      <c r="P11" s="2" t="inlineStr">
        <is>
          <t>None (optional lower-priced DLL add-on variant)</t>
        </is>
      </c>
      <c r="Q11" s="2" t="inlineStr">
        <is>
          <t>EOD trailing in eval and Flex sim-funded</t>
        </is>
      </c>
      <c r="R11" s="2" t="n">
        <v>2</v>
      </c>
      <c r="S11" s="2" t="inlineStr">
        <is>
          <t>50% eval only; none payout stage</t>
        </is>
      </c>
      <c r="T11" s="2" t="inlineStr">
        <is>
          <t>Allowed</t>
        </is>
      </c>
      <c r="U11" s="2" t="inlineStr">
        <is>
          <t>Needs verification</t>
        </is>
      </c>
      <c r="V11" s="2" t="inlineStr">
        <is>
          <t>No</t>
        </is>
      </c>
      <c r="W11" s="2" t="inlineStr">
        <is>
          <t>2 minis / 20 micros</t>
        </is>
      </c>
      <c r="X11" s="2" t="inlineStr">
        <is>
          <t>5 minis / 50 micros after scaling</t>
        </is>
      </c>
      <c r="Y11" s="2" t="inlineStr">
        <is>
          <t>Copiers supported; bot policy needs verification</t>
        </is>
      </c>
      <c r="Z11" s="2" t="inlineStr">
        <is>
          <t>5 days at $150+ net</t>
        </is>
      </c>
      <c r="AA11" s="2" t="n">
        <v>5</v>
      </c>
      <c r="AB11" s="12" t="n">
        <v>500</v>
      </c>
      <c r="AC11" s="12" t="n">
        <v>2000</v>
      </c>
      <c r="AD11" s="2" t="inlineStr">
        <is>
          <t>50% of net profit up to $2,000/cycle; max 5 sim payouts</t>
        </is>
      </c>
      <c r="AE11" s="13" t="n">
        <v>0.8</v>
      </c>
      <c r="AF11" s="2" t="inlineStr">
        <is>
          <t>Weekly/performance based</t>
        </is>
      </c>
      <c r="AG11" s="2" t="inlineStr">
        <is>
          <t>No buffer requirement</t>
        </is>
      </c>
      <c r="AH11" s="2" t="inlineStr">
        <is>
          <t>After first payout max loss becomes fixed at $100</t>
        </is>
      </c>
      <c r="AI11" s="2" t="inlineStr">
        <is>
          <t>Needs verification</t>
        </is>
      </c>
      <c r="AJ11" s="10" t="n">
        <v>4.9</v>
      </c>
      <c r="AK11" s="2" t="n">
        <v>18858</v>
      </c>
      <c r="AL11" s="2" t="inlineStr">
        <is>
          <t>Medium</t>
        </is>
      </c>
      <c r="AM11" s="2" t="inlineStr">
        <is>
          <t>Frequent plan changes; strict post-payout $100 loss floor; KYC/support complaints</t>
        </is>
      </c>
      <c r="AN11" s="2" t="inlineStr">
        <is>
          <t>No payout buffer, strong support ratings, clear current plan page, path to live after 5 payouts</t>
        </is>
      </c>
      <c r="AO11" s="2" t="inlineStr">
        <is>
          <t>Operating since 2023</t>
        </is>
      </c>
      <c r="AP11" s="2" t="inlineStr">
        <is>
          <t>Current pages are detailed but product lineup changes frequently</t>
        </is>
      </c>
      <c r="AQ11" s="2" t="inlineStr">
        <is>
          <t>Not suitable for five funded 50K Flex accounts under the current 3-account cap.</t>
        </is>
      </c>
      <c r="AR11" s="2" t="inlineStr">
        <is>
          <t>https://myfundedfutures.com/plans/flex
https://help.myfundedfutures.com/en/articles/11802636-traders-evaluation-simplified
https://www.trustpilot.com/review/myfundedfutures.com</t>
        </is>
      </c>
    </row>
    <row r="12">
      <c r="A12" s="2" t="inlineStr">
        <is>
          <t>Bulenox</t>
        </is>
      </c>
      <c r="B12" s="2" t="inlineStr">
        <is>
          <t>50K Option 2 EOD/Scaling</t>
        </is>
      </c>
      <c r="C12" s="11" t="n">
        <v>50000</v>
      </c>
      <c r="D12" s="12" t="n">
        <v>175</v>
      </c>
      <c r="E12" s="12" t="n"/>
      <c r="F12" s="2" t="inlineStr">
        <is>
          <t>Monthly</t>
        </is>
      </c>
      <c r="G12" s="12" t="n">
        <v>148</v>
      </c>
      <c r="H12" s="12" t="n">
        <v>0</v>
      </c>
      <c r="I12" s="2" t="n">
        <v>3</v>
      </c>
      <c r="J12" s="2" t="inlineStr">
        <is>
          <t>Needs verification; post-pass gating reported</t>
        </is>
      </c>
      <c r="K12" s="2" t="inlineStr">
        <is>
          <t>Needs verification</t>
        </is>
      </c>
      <c r="L12" s="2" t="inlineStr">
        <is>
          <t>Rithmic ecosystem; platform list shown by icons, verify exact support</t>
        </is>
      </c>
      <c r="M12" s="2" t="inlineStr">
        <is>
          <t>Broad CME-group futures list</t>
        </is>
      </c>
      <c r="N12" s="12" t="n">
        <v>3000</v>
      </c>
      <c r="O12" s="12" t="n">
        <v>2500</v>
      </c>
      <c r="P12" s="2" t="inlineStr">
        <is>
          <t>$1,100 soft daily suspension on Option 2</t>
        </is>
      </c>
      <c r="Q12" s="2" t="inlineStr">
        <is>
          <t>EOD trailing/scaling</t>
        </is>
      </c>
      <c r="R12" s="2" t="n">
        <v>5</v>
      </c>
      <c r="S12" s="2" t="inlineStr">
        <is>
          <t>Consistency applies in Master payout stage; exact current % needs verification</t>
        </is>
      </c>
      <c r="T12" s="2" t="inlineStr">
        <is>
          <t>Needs verification</t>
        </is>
      </c>
      <c r="U12" s="2" t="inlineStr">
        <is>
          <t>Limited micros only on legacy help text</t>
        </is>
      </c>
      <c r="V12" s="2" t="inlineStr">
        <is>
          <t>No</t>
        </is>
      </c>
      <c r="W12" s="2" t="inlineStr">
        <is>
          <t>2 minis</t>
        </is>
      </c>
      <c r="X12" s="2" t="inlineStr">
        <is>
          <t>7 after scaling</t>
        </is>
      </c>
      <c r="Y12" s="2" t="inlineStr">
        <is>
          <t>Needs verification</t>
        </is>
      </c>
      <c r="Z12" s="2" t="inlineStr">
        <is>
          <t>After 10 individual trading days</t>
        </is>
      </c>
      <c r="AA12" s="2" t="n">
        <v>10</v>
      </c>
      <c r="AB12" s="12" t="n">
        <v>1000</v>
      </c>
      <c r="AC12" s="12" t="n">
        <v>1500</v>
      </c>
      <c r="AD12" s="2" t="inlineStr">
        <is>
          <t>$1,500 for first 3 payouts; later rules/live consolidation apply</t>
        </is>
      </c>
      <c r="AE12" s="13" t="n">
        <v>1</v>
      </c>
      <c r="AF12" s="2" t="inlineStr">
        <is>
          <t>Weekly processing on Wednesday</t>
        </is>
      </c>
      <c r="AG12" s="2" t="inlineStr">
        <is>
          <t>$2,600 safety reserve</t>
        </is>
      </c>
      <c r="AH12" s="2" t="inlineStr">
        <is>
          <t>Reserve remains; after 3 payouts accounts may consolidate to one live account</t>
        </is>
      </c>
      <c r="AI12" s="2" t="inlineStr">
        <is>
          <t>1099-MISC/W-8BEN stated on help page</t>
        </is>
      </c>
      <c r="AJ12" s="10" t="n"/>
      <c r="AK12" s="2" t="n"/>
      <c r="AL12" s="15" t="inlineStr">
        <is>
          <t>High</t>
        </is>
      </c>
      <c r="AM12" s="2" t="inlineStr">
        <is>
          <t>Outdated help text, vague strategy enforcement reports, post-pass/live consolidation complexity</t>
        </is>
      </c>
      <c r="AN12" s="2" t="inlineStr">
        <is>
          <t>100% first $10k stated, $2.5k drawdown, broad instruments</t>
        </is>
      </c>
      <c r="AO12" s="2" t="inlineStr">
        <is>
          <t>Operating for several years; exact founding date needs verification</t>
        </is>
      </c>
      <c r="AP12" s="2" t="inlineStr">
        <is>
          <t>Public documentation appears dated and internally inconsistent</t>
        </is>
      </c>
      <c r="AQ12" s="2" t="inlineStr">
        <is>
          <t>High-priority verification: account cap, consistency %, copy trading, and post-third-payout consolidation.</t>
        </is>
      </c>
      <c r="AR12" s="2" t="inlineStr">
        <is>
          <t>https://bulenox.com/member/signup
https://bulenox.com/help/qualification-account/
https://bulenox.com/help/master-account/</t>
        </is>
      </c>
    </row>
    <row r="13">
      <c r="A13" s="2" t="inlineStr">
        <is>
          <t>Earn2Trade</t>
        </is>
      </c>
      <c r="B13" s="2" t="inlineStr">
        <is>
          <t>TCP50</t>
        </is>
      </c>
      <c r="C13" s="11" t="n">
        <v>50000</v>
      </c>
      <c r="D13" s="12" t="n">
        <v>190</v>
      </c>
      <c r="E13" s="12" t="n"/>
      <c r="F13" s="2" t="inlineStr">
        <is>
          <t>Monthly</t>
        </is>
      </c>
      <c r="G13" s="12" t="n">
        <v>139</v>
      </c>
      <c r="H13" s="12" t="n">
        <v>0</v>
      </c>
      <c r="I13" s="2" t="n">
        <v>1</v>
      </c>
      <c r="J13" s="2" t="inlineStr">
        <is>
          <t>No practical five-account stack; verify partner allocation</t>
        </is>
      </c>
      <c r="K13" s="2" t="inlineStr">
        <is>
          <t>No</t>
        </is>
      </c>
      <c r="L13" s="2" t="inlineStr">
        <is>
          <t>Rithmic/Tradovate; NinjaTrader, Finamark, TradingView options</t>
        </is>
      </c>
      <c r="M13" s="2" t="inlineStr">
        <is>
          <t>CME, CBOT, NYMEX, COMEX futures</t>
        </is>
      </c>
      <c r="N13" s="12" t="n">
        <v>3000</v>
      </c>
      <c r="O13" s="12" t="n">
        <v>2000</v>
      </c>
      <c r="P13" s="2" t="inlineStr">
        <is>
          <t>$1,100</t>
        </is>
      </c>
      <c r="Q13" s="2" t="inlineStr">
        <is>
          <t>EOD drawdown, but open/closed equity monitored intraday</t>
        </is>
      </c>
      <c r="R13" s="2" t="n">
        <v>10</v>
      </c>
      <c r="S13" s="2" t="inlineStr">
        <is>
          <t>Consistency required; exact formula needs verification</t>
        </is>
      </c>
      <c r="T13" s="2" t="inlineStr">
        <is>
          <t>Approved trading times only</t>
        </is>
      </c>
      <c r="U13" s="2" t="inlineStr">
        <is>
          <t>No</t>
        </is>
      </c>
      <c r="V13" s="2" t="inlineStr">
        <is>
          <t>No</t>
        </is>
      </c>
      <c r="W13" s="2" t="inlineStr">
        <is>
          <t>Progression ladder</t>
        </is>
      </c>
      <c r="X13" s="2" t="inlineStr">
        <is>
          <t>Up to 6</t>
        </is>
      </c>
      <c r="Y13" s="2" t="inlineStr">
        <is>
          <t>Copy traders prohibited; automation needs approval</t>
        </is>
      </c>
      <c r="Z13" s="2" t="inlineStr">
        <is>
          <t>Funded withdrawals over $100; first must also cover $139 setup</t>
        </is>
      </c>
      <c r="AA13" s="2" t="n">
        <v>1</v>
      </c>
      <c r="AB13" s="12" t="n">
        <v>100</v>
      </c>
      <c r="AC13" s="12" t="n">
        <v>3000</v>
      </c>
      <c r="AD13" s="2" t="inlineStr">
        <is>
          <t>No simple cycle cap; TCP scaling model</t>
        </is>
      </c>
      <c r="AE13" s="13" t="n">
        <v>0.8</v>
      </c>
      <c r="AF13" s="2" t="inlineStr">
        <is>
          <t>On request through partner/Rise</t>
        </is>
      </c>
      <c r="AG13" s="2" t="inlineStr">
        <is>
          <t>First profit must cover $100 minimum + $139 setup</t>
        </is>
      </c>
      <c r="AH13" s="2" t="inlineStr">
        <is>
          <t>Withdraw profit target to advance to larger account in TCP</t>
        </is>
      </c>
      <c r="AI13" s="2" t="inlineStr">
        <is>
          <t>Rise/contractor onboarding; verify forms</t>
        </is>
      </c>
      <c r="AJ13" s="10" t="n">
        <v>4.7</v>
      </c>
      <c r="AK13" s="2" t="n">
        <v>4828</v>
      </c>
      <c r="AL13" s="14" t="inlineStr">
        <is>
          <t>Low</t>
        </is>
      </c>
      <c r="AM13" s="2" t="inlineStr">
        <is>
          <t>More restrictive rules, 10-day test, no copier, partner/data/setup complexity</t>
        </is>
      </c>
      <c r="AN13" s="2" t="inlineStr">
        <is>
          <t>Founded 2016, transparent pass/withdrawal statistics, education, genuine live-account option</t>
        </is>
      </c>
      <c r="AO13" s="2" t="inlineStr">
        <is>
          <t>Founded 2016</t>
        </is>
      </c>
      <c r="AP13" s="2" t="inlineStr">
        <is>
          <t>Very transparent disclosures, but not designed for account stacking</t>
        </is>
      </c>
      <c r="AQ13" s="2" t="inlineStr">
        <is>
          <t>Not a fit for five copied accounts. Confirm partner funding/account-allocation policy.</t>
        </is>
      </c>
      <c r="AR13" s="2" t="inlineStr">
        <is>
          <t>https://www.earn2trade.com/purchase
https://help.earn2trade.com/en/articles/5941958-what-are-the-trader-career-path-rules
https://help.earn2trade.com/en/articles/6877574-what-offer-will-i-receive-upon-completing-the-trader-career-path
https://www.trustpilot.com/review/www.earn2trade.com</t>
        </is>
      </c>
    </row>
    <row r="14">
      <c r="A14" s="2" t="inlineStr">
        <is>
          <t>Elite Trader Funding</t>
        </is>
      </c>
      <c r="B14" s="2" t="inlineStr">
        <is>
          <t>50K EOD Evaluation</t>
        </is>
      </c>
      <c r="C14" s="11" t="n">
        <v>50000</v>
      </c>
      <c r="D14" s="12" t="n">
        <v>295</v>
      </c>
      <c r="E14" s="12" t="n"/>
      <c r="F14" s="2" t="inlineStr">
        <is>
          <t>Monthly</t>
        </is>
      </c>
      <c r="G14" s="12" t="n">
        <v>0</v>
      </c>
      <c r="H14" s="12" t="n">
        <v>80</v>
      </c>
      <c r="I14" s="2" t="n">
        <v>5</v>
      </c>
      <c r="J14" s="2" t="inlineStr">
        <is>
          <t>Needs verification</t>
        </is>
      </c>
      <c r="K14" s="2" t="inlineStr">
        <is>
          <t>Needs verification</t>
        </is>
      </c>
      <c r="L14" s="2" t="inlineStr">
        <is>
          <t>NinjaTrader/Rithmic ecosystem; free license/data stated</t>
        </is>
      </c>
      <c r="M14" s="2" t="inlineStr">
        <is>
          <t>CME-group futures; verify list</t>
        </is>
      </c>
      <c r="N14" s="12" t="n">
        <v>3000</v>
      </c>
      <c r="O14" s="12" t="n">
        <v>2000</v>
      </c>
      <c r="P14" s="2" t="inlineStr">
        <is>
          <t>$1,100</t>
        </is>
      </c>
      <c r="Q14" s="2" t="inlineStr">
        <is>
          <t>EOD trailing</t>
        </is>
      </c>
      <c r="R14" s="2" t="n">
        <v>5</v>
      </c>
      <c r="S14" s="2" t="inlineStr">
        <is>
          <t>Needs verification</t>
        </is>
      </c>
      <c r="T14" s="2" t="inlineStr">
        <is>
          <t>Needs verification</t>
        </is>
      </c>
      <c r="U14" s="2" t="inlineStr">
        <is>
          <t>Needs verification</t>
        </is>
      </c>
      <c r="V14" s="2" t="inlineStr">
        <is>
          <t>No</t>
        </is>
      </c>
      <c r="W14" s="2" t="inlineStr">
        <is>
          <t>8 minis / 80 micros</t>
        </is>
      </c>
      <c r="X14" s="2" t="inlineStr">
        <is>
          <t>8 minis / 80 micros; no scaling in evaluation</t>
        </is>
      </c>
      <c r="Y14" s="2" t="inlineStr">
        <is>
          <t>Needs verification</t>
        </is>
      </c>
      <c r="Z14" s="2" t="inlineStr">
        <is>
          <t>Active Trade Day cycles; exact 50K EOD table needs verification</t>
        </is>
      </c>
      <c r="AA14" s="2" t="n">
        <v>10</v>
      </c>
      <c r="AB14" s="12" t="n">
        <v>500</v>
      </c>
      <c r="AC14" s="12" t="n">
        <v>1500</v>
      </c>
      <c r="AD14" s="2" t="inlineStr">
        <is>
          <t>$25,000 aggregate trader cap before live transition stated</t>
        </is>
      </c>
      <c r="AE14" s="13" t="n">
        <v>0.9</v>
      </c>
      <c r="AF14" s="2" t="inlineStr">
        <is>
          <t>By payout cycle</t>
        </is>
      </c>
      <c r="AG14" s="2" t="inlineStr">
        <is>
          <t>Needs verification</t>
        </is>
      </c>
      <c r="AH14" s="2" t="inlineStr">
        <is>
          <t>Needs verification</t>
        </is>
      </c>
      <c r="AI14" s="2" t="inlineStr">
        <is>
          <t>Needs verification</t>
        </is>
      </c>
      <c r="AJ14" s="10" t="n"/>
      <c r="AK14" s="2" t="n"/>
      <c r="AL14" s="15" t="inlineStr">
        <is>
          <t>High</t>
        </is>
      </c>
      <c r="AM14" s="2" t="inlineStr">
        <is>
          <t>Complex product catalog and payout-cycle rules; current public tables difficult to extract</t>
        </is>
      </c>
      <c r="AN14" s="2" t="inlineStr">
        <is>
          <t>High contract limit, EOD option, established platform/data package</t>
        </is>
      </c>
      <c r="AO14" s="2" t="inlineStr">
        <is>
          <t>Operating several years</t>
        </is>
      </c>
      <c r="AP14" s="2" t="inlineStr">
        <is>
          <t>Current public information is fragmented</t>
        </is>
      </c>
      <c r="AQ14" s="2" t="inlineStr">
        <is>
          <t>Verify current checkout price, account cap, payout cycle/caps, split, copier and funded monthly fee.</t>
        </is>
      </c>
      <c r="AR14" s="2" t="inlineStr">
        <is>
          <t>https://shop.elitetraderfunding.com/products/50k-end-of-day-drawdown-evaluation-gift-card
https://help.elitetraderfunding.com/help/etf-payout-amounts-by-account-type</t>
        </is>
      </c>
    </row>
  </sheetData>
  <autoFilter ref="A4:AR14"/>
  <mergeCells count="2">
    <mergeCell ref="A1:J1"/>
    <mergeCell ref="A2:J2"/>
  </mergeCells>
  <conditionalFormatting sqref="A5:AR14">
    <cfRule type="expression" priority="1" dxfId="0">
      <formula>ISNUMBER(SEARCH("Needs verification",A5))</formula>
    </cfRule>
  </conditionalFormatting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7" customWidth="1" min="3" max="3"/>
    <col width="20" customWidth="1" min="4" max="4"/>
    <col width="19" customWidth="1" min="5" max="5"/>
    <col width="16" customWidth="1" min="6" max="6"/>
    <col width="18" customWidth="1" min="7" max="7"/>
    <col width="22" customWidth="1" min="8" max="8"/>
    <col width="25" customWidth="1" min="9" max="9"/>
    <col width="26" customWidth="1" min="10" max="10"/>
    <col width="25" customWidth="1" min="11" max="11"/>
    <col width="24" customWidth="1" min="12" max="12"/>
    <col width="27" customWidth="1" min="13" max="13"/>
    <col width="20" customWidth="1" min="14" max="14"/>
    <col width="22" customWidth="1" min="15" max="15"/>
    <col width="55" customWidth="1" min="16" max="16"/>
  </cols>
  <sheetData>
    <row r="1" ht="30" customHeight="1">
      <c r="A1" s="1" t="inlineStr">
        <is>
          <t>Five Account Cost Model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Assumes all five evaluations pass in one billing period with no resets. Trading-profit buffers are not cash fees.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4" t="inlineStr">
        <is>
          <t>Company</t>
        </is>
      </c>
      <c r="B4" s="4" t="inlineStr">
        <is>
          <t>Plan</t>
        </is>
      </c>
      <c r="C4" s="4" t="inlineStr">
        <is>
          <t>Normal Eval x5</t>
        </is>
      </c>
      <c r="D4" s="4" t="inlineStr">
        <is>
          <t>Promo / Bundle Eval x5</t>
        </is>
      </c>
      <c r="E4" s="4" t="inlineStr">
        <is>
          <t>Monthly Recurring x5</t>
        </is>
      </c>
      <c r="F4" s="4" t="inlineStr">
        <is>
          <t>Activation x5</t>
        </is>
      </c>
      <c r="G4" s="4" t="inlineStr">
        <is>
          <t>Funded Monthly x5</t>
        </is>
      </c>
      <c r="H4" s="4" t="inlineStr">
        <is>
          <t>Cost to Funded (1 month)</t>
        </is>
      </c>
      <c r="I4" s="4" t="inlineStr">
        <is>
          <t>Est. Cash Cost to First Payout</t>
        </is>
      </c>
      <c r="J4" s="4" t="inlineStr">
        <is>
          <t>Trading Profit Needed to Unlock / Acct</t>
        </is>
      </c>
      <c r="K4" s="4" t="inlineStr">
        <is>
          <t>Max First Payout x5 (Gross)</t>
        </is>
      </c>
      <c r="L4" s="4" t="inlineStr">
        <is>
          <t>Max First Payout x5 (Net)</t>
        </is>
      </c>
      <c r="M4" s="4" t="inlineStr">
        <is>
          <t>Realistic First Payout x5 (Net)</t>
        </is>
      </c>
      <c r="N4" s="4" t="inlineStr">
        <is>
          <t>Break-Even Cash Amount</t>
        </is>
      </c>
      <c r="O4" s="4" t="inlineStr">
        <is>
          <t>Five Funded Feasible?</t>
        </is>
      </c>
      <c r="P4" s="4" t="inlineStr">
        <is>
          <t>Notes</t>
        </is>
      </c>
    </row>
    <row r="5">
      <c r="A5" s="2" t="inlineStr">
        <is>
          <t>Apex Trader Funding</t>
        </is>
      </c>
      <c r="B5" s="2" t="inlineStr">
        <is>
          <t>50K EOD Evaluation</t>
        </is>
      </c>
      <c r="C5" s="12">
        <f>'Full Comparison'!D5*5</f>
        <v/>
      </c>
      <c r="D5" s="12">
        <f>'Full Comparison'!E5*5</f>
        <v/>
      </c>
      <c r="E5" s="12">
        <f>IF('Full Comparison'!F5="Monthly",'Full Comparison'!D5*5,0)</f>
        <v/>
      </c>
      <c r="F5" s="12">
        <f>'Full Comparison'!G5*5</f>
        <v/>
      </c>
      <c r="G5" s="12">
        <f>'Full Comparison'!H5*5</f>
        <v/>
      </c>
      <c r="H5" s="12">
        <f>C5+F5</f>
        <v/>
      </c>
      <c r="I5" s="12">
        <f>H5+G5</f>
        <v/>
      </c>
      <c r="J5" s="12" t="n">
        <v>2600</v>
      </c>
      <c r="K5" s="12">
        <f>'Full Comparison'!AC5*5</f>
        <v/>
      </c>
      <c r="L5" s="12">
        <f>K5*'Full Comparison'!AE5</f>
        <v/>
      </c>
      <c r="M5" s="12" t="n">
        <v>5000</v>
      </c>
      <c r="N5" s="12">
        <f>I5</f>
        <v/>
      </c>
      <c r="O5" s="2" t="inlineStr">
        <is>
          <t>Yes</t>
        </is>
      </c>
      <c r="P5" s="2" t="inlineStr">
        <is>
          <t>Normal $450 and $119 activation are volatile; confirm checkout before purchase.</t>
        </is>
      </c>
    </row>
    <row r="6">
      <c r="A6" s="2" t="inlineStr">
        <is>
          <t>Alpha Futures</t>
        </is>
      </c>
      <c r="B6" s="2" t="inlineStr">
        <is>
          <t>50K Standard Evaluation</t>
        </is>
      </c>
      <c r="C6" s="12">
        <f>'Full Comparison'!D6*5</f>
        <v/>
      </c>
      <c r="D6" s="12" t="n"/>
      <c r="E6" s="12">
        <f>IF('Full Comparison'!F6="Monthly",'Full Comparison'!D6*5,0)</f>
        <v/>
      </c>
      <c r="F6" s="12">
        <f>'Full Comparison'!G6*5</f>
        <v/>
      </c>
      <c r="G6" s="12">
        <f>'Full Comparison'!H6*5</f>
        <v/>
      </c>
      <c r="H6" s="12">
        <f>C6+F6</f>
        <v/>
      </c>
      <c r="I6" s="12">
        <f>H6+G6</f>
        <v/>
      </c>
      <c r="J6" s="12" t="n">
        <v>2000</v>
      </c>
      <c r="K6" s="12">
        <f>'Full Comparison'!AC6*5</f>
        <v/>
      </c>
      <c r="L6" s="12">
        <f>K6*'Full Comparison'!AE6</f>
        <v/>
      </c>
      <c r="M6" s="12" t="n">
        <v>4500</v>
      </c>
      <c r="N6" s="12">
        <f>I6</f>
        <v/>
      </c>
      <c r="O6" s="2" t="inlineStr">
        <is>
          <t>No (3 qualified max)</t>
        </is>
      </c>
      <c r="P6" s="2" t="inlineStr">
        <is>
          <t>Current site displays multiple plan variants. Confirm Standard price, activation fee, and five-account objective.</t>
        </is>
      </c>
    </row>
    <row r="7">
      <c r="A7" s="2" t="inlineStr">
        <is>
          <t>Tradeify</t>
        </is>
      </c>
      <c r="B7" s="2" t="inlineStr">
        <is>
          <t>50K Select Evaluation</t>
        </is>
      </c>
      <c r="C7" s="12">
        <f>'Full Comparison'!D7*5</f>
        <v/>
      </c>
      <c r="D7" s="12">
        <f>'Full Comparison'!E7*5</f>
        <v/>
      </c>
      <c r="E7" s="12">
        <f>IF('Full Comparison'!F7="Monthly",'Full Comparison'!D7*5,0)</f>
        <v/>
      </c>
      <c r="F7" s="12">
        <f>'Full Comparison'!G7*5</f>
        <v/>
      </c>
      <c r="G7" s="12">
        <f>'Full Comparison'!H7*5</f>
        <v/>
      </c>
      <c r="H7" s="12">
        <f>C7+F7</f>
        <v/>
      </c>
      <c r="I7" s="12">
        <f>H7+G7</f>
        <v/>
      </c>
      <c r="J7" s="12" t="n">
        <v>2100</v>
      </c>
      <c r="K7" s="12">
        <f>'Full Comparison'!AC7*5</f>
        <v/>
      </c>
      <c r="L7" s="12">
        <f>K7*'Full Comparison'!AE7</f>
        <v/>
      </c>
      <c r="M7" s="12" t="n">
        <v>5625</v>
      </c>
      <c r="N7" s="12">
        <f>I7</f>
        <v/>
      </c>
      <c r="O7" s="2" t="inlineStr">
        <is>
          <t>Yes</t>
        </is>
      </c>
      <c r="P7" s="2" t="inlineStr">
        <is>
          <t>Overnight and automation specifics should be confirmed for selected broker/path.</t>
        </is>
      </c>
    </row>
    <row r="8">
      <c r="A8" s="2" t="inlineStr">
        <is>
          <t>Lucid Trading</t>
        </is>
      </c>
      <c r="B8" s="2" t="inlineStr">
        <is>
          <t>50K LucidPro Evaluation</t>
        </is>
      </c>
      <c r="C8" s="12">
        <f>'Full Comparison'!D8*5</f>
        <v/>
      </c>
      <c r="D8" s="12">
        <f>'Full Comparison'!E8*5</f>
        <v/>
      </c>
      <c r="E8" s="12">
        <f>IF('Full Comparison'!F8="Monthly",'Full Comparison'!D8*5,0)</f>
        <v/>
      </c>
      <c r="F8" s="12">
        <f>'Full Comparison'!G8*5</f>
        <v/>
      </c>
      <c r="G8" s="12">
        <f>'Full Comparison'!H8*5</f>
        <v/>
      </c>
      <c r="H8" s="12">
        <f>C8+F8</f>
        <v/>
      </c>
      <c r="I8" s="12">
        <f>H8+G8</f>
        <v/>
      </c>
      <c r="J8" s="12" t="n">
        <v>2600</v>
      </c>
      <c r="K8" s="12">
        <f>'Full Comparison'!AC8*5</f>
        <v/>
      </c>
      <c r="L8" s="12">
        <f>K8*'Full Comparison'!AE8</f>
        <v/>
      </c>
      <c r="M8" s="12" t="n">
        <v>5625</v>
      </c>
      <c r="N8" s="12">
        <f>I8</f>
        <v/>
      </c>
      <c r="O8" s="2" t="inlineStr">
        <is>
          <t>Yes</t>
        </is>
      </c>
      <c r="P8" s="2" t="inlineStr">
        <is>
          <t>Obtain written confirmation for bots/copiers, news and overnight policy.</t>
        </is>
      </c>
    </row>
    <row r="9">
      <c r="A9" s="2" t="inlineStr">
        <is>
          <t>Topstep</t>
        </is>
      </c>
      <c r="B9" s="2" t="inlineStr">
        <is>
          <t>50K Standard Trading Combine</t>
        </is>
      </c>
      <c r="C9" s="12">
        <f>'Full Comparison'!D9*5</f>
        <v/>
      </c>
      <c r="D9" s="12" t="n"/>
      <c r="E9" s="12">
        <f>IF('Full Comparison'!F9="Monthly",'Full Comparison'!D9*5,0)</f>
        <v/>
      </c>
      <c r="F9" s="12">
        <f>'Full Comparison'!G9*5</f>
        <v/>
      </c>
      <c r="G9" s="12">
        <f>'Full Comparison'!H9*5</f>
        <v/>
      </c>
      <c r="H9" s="12">
        <f>C9+F9</f>
        <v/>
      </c>
      <c r="I9" s="12">
        <f>H9+G9</f>
        <v/>
      </c>
      <c r="J9" s="12" t="n">
        <v>2500</v>
      </c>
      <c r="K9" s="12">
        <f>'Full Comparison'!AC9*5</f>
        <v/>
      </c>
      <c r="L9" s="12">
        <f>K9*'Full Comparison'!AE9</f>
        <v/>
      </c>
      <c r="M9" s="12" t="n">
        <v>5625</v>
      </c>
      <c r="N9" s="12">
        <f>I9</f>
        <v/>
      </c>
      <c r="O9" s="2" t="inlineStr">
        <is>
          <t>Yes (5 active XFA max; verify purchase limits)</t>
        </is>
      </c>
      <c r="P9" s="2" t="inlineStr">
        <is>
          <t>Confirm current XFA count and selected payout path immediately before purchase.</t>
        </is>
      </c>
    </row>
    <row r="10">
      <c r="A10" s="2" t="inlineStr">
        <is>
          <t>Take Profit Trader</t>
        </is>
      </c>
      <c r="B10" s="2" t="inlineStr">
        <is>
          <t>50K Test</t>
        </is>
      </c>
      <c r="C10" s="12">
        <f>'Full Comparison'!D10*5</f>
        <v/>
      </c>
      <c r="D10" s="12">
        <f>'Full Comparison'!E10*5</f>
        <v/>
      </c>
      <c r="E10" s="12">
        <f>IF('Full Comparison'!F10="Monthly",'Full Comparison'!D10*5,0)</f>
        <v/>
      </c>
      <c r="F10" s="12">
        <f>'Full Comparison'!G10*5</f>
        <v/>
      </c>
      <c r="G10" s="12">
        <f>'Full Comparison'!H10*5</f>
        <v/>
      </c>
      <c r="H10" s="12">
        <f>C10+F10</f>
        <v/>
      </c>
      <c r="I10" s="12">
        <f>H10+G10</f>
        <v/>
      </c>
      <c r="J10" s="12" t="n">
        <v>2000</v>
      </c>
      <c r="K10" s="12">
        <f>'Full Comparison'!AC10*5</f>
        <v/>
      </c>
      <c r="L10" s="12">
        <f>K10*'Full Comparison'!AE10</f>
        <v/>
      </c>
      <c r="M10" s="12" t="n">
        <v>6000</v>
      </c>
      <c r="N10" s="12">
        <f>I10</f>
        <v/>
      </c>
      <c r="O10" s="2" t="inlineStr">
        <is>
          <t>Yes</t>
        </is>
      </c>
      <c r="P10" s="2" t="inlineStr">
        <is>
          <t>Confirm current $2,000 drawdown, $130 activation, and PRO+ transition policy.</t>
        </is>
      </c>
    </row>
    <row r="11">
      <c r="A11" s="2" t="inlineStr">
        <is>
          <t>MyFundedFutures</t>
        </is>
      </c>
      <c r="B11" s="2" t="inlineStr">
        <is>
          <t>50K Flex</t>
        </is>
      </c>
      <c r="C11" s="12">
        <f>'Full Comparison'!D11*5</f>
        <v/>
      </c>
      <c r="D11" s="12">
        <f>'Full Comparison'!E11*5</f>
        <v/>
      </c>
      <c r="E11" s="12">
        <f>IF('Full Comparison'!F11="Monthly",'Full Comparison'!D11*5,0)</f>
        <v/>
      </c>
      <c r="F11" s="12">
        <f>'Full Comparison'!G11*5</f>
        <v/>
      </c>
      <c r="G11" s="12">
        <f>'Full Comparison'!H11*5</f>
        <v/>
      </c>
      <c r="H11" s="12">
        <f>C11+F11</f>
        <v/>
      </c>
      <c r="I11" s="12">
        <f>H11+G11</f>
        <v/>
      </c>
      <c r="J11" s="12" t="n">
        <v>1000</v>
      </c>
      <c r="K11" s="12">
        <f>'Full Comparison'!AC11*5</f>
        <v/>
      </c>
      <c r="L11" s="12">
        <f>K11*'Full Comparison'!AE11</f>
        <v/>
      </c>
      <c r="M11" s="12" t="n">
        <v>4000</v>
      </c>
      <c r="N11" s="12">
        <f>I11</f>
        <v/>
      </c>
      <c r="O11" s="2" t="inlineStr">
        <is>
          <t>No (new 50K Flex sim-funded cap is 3)</t>
        </is>
      </c>
      <c r="P11" s="2" t="inlineStr">
        <is>
          <t>Not suitable for five funded 50K Flex accounts under the current 3-account cap.</t>
        </is>
      </c>
    </row>
    <row r="12">
      <c r="A12" s="2" t="inlineStr">
        <is>
          <t>Bulenox</t>
        </is>
      </c>
      <c r="B12" s="2" t="inlineStr">
        <is>
          <t>50K Option 2 EOD/Scaling</t>
        </is>
      </c>
      <c r="C12" s="12">
        <f>'Full Comparison'!D12*5</f>
        <v/>
      </c>
      <c r="D12" s="12" t="n"/>
      <c r="E12" s="12">
        <f>IF('Full Comparison'!F12="Monthly",'Full Comparison'!D12*5,0)</f>
        <v/>
      </c>
      <c r="F12" s="12">
        <f>'Full Comparison'!G12*5</f>
        <v/>
      </c>
      <c r="G12" s="12">
        <f>'Full Comparison'!H12*5</f>
        <v/>
      </c>
      <c r="H12" s="12">
        <f>C12+F12</f>
        <v/>
      </c>
      <c r="I12" s="12">
        <f>H12+G12</f>
        <v/>
      </c>
      <c r="J12" s="12" t="n">
        <v>3600</v>
      </c>
      <c r="K12" s="12">
        <f>'Full Comparison'!AC12*5</f>
        <v/>
      </c>
      <c r="L12" s="12">
        <f>K12*'Full Comparison'!AE12</f>
        <v/>
      </c>
      <c r="M12" s="12" t="n">
        <v>5000</v>
      </c>
      <c r="N12" s="12">
        <f>I12</f>
        <v/>
      </c>
      <c r="O12" s="2" t="inlineStr">
        <is>
          <t>Needs verification; post-pass gating reported</t>
        </is>
      </c>
      <c r="P12" s="2" t="inlineStr">
        <is>
          <t>High-priority verification: account cap, consistency %, copy trading, and post-third-payout consolidation.</t>
        </is>
      </c>
    </row>
    <row r="13">
      <c r="A13" s="2" t="inlineStr">
        <is>
          <t>Earn2Trade</t>
        </is>
      </c>
      <c r="B13" s="2" t="inlineStr">
        <is>
          <t>TCP50</t>
        </is>
      </c>
      <c r="C13" s="12">
        <f>'Full Comparison'!D13*5</f>
        <v/>
      </c>
      <c r="D13" s="12" t="n"/>
      <c r="E13" s="12">
        <f>IF('Full Comparison'!F13="Monthly",'Full Comparison'!D13*5,0)</f>
        <v/>
      </c>
      <c r="F13" s="12">
        <f>'Full Comparison'!G13*5</f>
        <v/>
      </c>
      <c r="G13" s="12">
        <f>'Full Comparison'!H13*5</f>
        <v/>
      </c>
      <c r="H13" s="12">
        <f>C13+F13</f>
        <v/>
      </c>
      <c r="I13" s="12">
        <f>H13+G13</f>
        <v/>
      </c>
      <c r="J13" s="12" t="n">
        <v>239</v>
      </c>
      <c r="K13" s="12">
        <f>'Full Comparison'!AC13*5</f>
        <v/>
      </c>
      <c r="L13" s="12">
        <f>K13*'Full Comparison'!AE13</f>
        <v/>
      </c>
      <c r="M13" s="12" t="n">
        <v>4000</v>
      </c>
      <c r="N13" s="12">
        <f>I13</f>
        <v/>
      </c>
      <c r="O13" s="2" t="inlineStr">
        <is>
          <t>No practical five-account stack; verify partner allocation</t>
        </is>
      </c>
      <c r="P13" s="2" t="inlineStr">
        <is>
          <t>Not a fit for five copied accounts. Confirm partner funding/account-allocation policy.</t>
        </is>
      </c>
    </row>
    <row r="14">
      <c r="A14" s="2" t="inlineStr">
        <is>
          <t>Elite Trader Funding</t>
        </is>
      </c>
      <c r="B14" s="2" t="inlineStr">
        <is>
          <t>50K EOD Evaluation</t>
        </is>
      </c>
      <c r="C14" s="12">
        <f>'Full Comparison'!D14*5</f>
        <v/>
      </c>
      <c r="D14" s="12" t="n"/>
      <c r="E14" s="12">
        <f>IF('Full Comparison'!F14="Monthly",'Full Comparison'!D14*5,0)</f>
        <v/>
      </c>
      <c r="F14" s="12">
        <f>'Full Comparison'!G14*5</f>
        <v/>
      </c>
      <c r="G14" s="12">
        <f>'Full Comparison'!H14*5</f>
        <v/>
      </c>
      <c r="H14" s="12">
        <f>C14+F14</f>
        <v/>
      </c>
      <c r="I14" s="12">
        <f>H14+G14</f>
        <v/>
      </c>
      <c r="J14" s="12" t="n">
        <v>2500</v>
      </c>
      <c r="K14" s="12">
        <f>'Full Comparison'!AC14*5</f>
        <v/>
      </c>
      <c r="L14" s="12">
        <f>K14*'Full Comparison'!AE14</f>
        <v/>
      </c>
      <c r="M14" s="12" t="n">
        <v>3375</v>
      </c>
      <c r="N14" s="12">
        <f>I14</f>
        <v/>
      </c>
      <c r="O14" s="2" t="inlineStr">
        <is>
          <t>Needs verification</t>
        </is>
      </c>
      <c r="P14" s="2" t="inlineStr">
        <is>
          <t>Verify current checkout price, account cap, payout cycle/caps, split, copier and funded monthly fee.</t>
        </is>
      </c>
    </row>
  </sheetData>
  <mergeCells count="2">
    <mergeCell ref="A1:J1"/>
    <mergeCell ref="A2:J2"/>
  </mergeCells>
  <conditionalFormatting sqref="I5:I1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5:M1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42" customWidth="1" min="3" max="3"/>
    <col width="15" customWidth="1" min="4" max="4"/>
    <col width="14" customWidth="1" min="5" max="5"/>
    <col width="42" customWidth="1" min="6" max="6"/>
    <col width="11" customWidth="1" min="7" max="7"/>
    <col width="42" customWidth="1" min="8" max="8"/>
    <col width="42" customWidth="1" min="9" max="9"/>
    <col width="41" customWidth="1" min="10" max="10"/>
    <col width="42" customWidth="1" min="11" max="11"/>
    <col width="42" customWidth="1" min="12" max="12"/>
    <col width="42" customWidth="1" min="13" max="13"/>
  </cols>
  <sheetData>
    <row r="1" ht="30" customHeight="1">
      <c r="A1" s="1" t="inlineStr">
        <is>
          <t>Rules Matrix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Side-by-side evaluation and funded-rule comparison.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4" t="inlineStr">
        <is>
          <t>Company</t>
        </is>
      </c>
      <c r="B4" s="4" t="inlineStr">
        <is>
          <t>Plan</t>
        </is>
      </c>
      <c r="C4" s="4" t="inlineStr">
        <is>
          <t>Drawdown Type</t>
        </is>
      </c>
      <c r="D4" s="4" t="inlineStr">
        <is>
          <t>Profit Target</t>
        </is>
      </c>
      <c r="E4" s="4" t="inlineStr">
        <is>
          <t>Max Drawdown</t>
        </is>
      </c>
      <c r="F4" s="4" t="inlineStr">
        <is>
          <t>Daily Loss Limit</t>
        </is>
      </c>
      <c r="G4" s="4" t="inlineStr">
        <is>
          <t>Min Days</t>
        </is>
      </c>
      <c r="H4" s="4" t="inlineStr">
        <is>
          <t>Consistency</t>
        </is>
      </c>
      <c r="I4" s="4" t="inlineStr">
        <is>
          <t>News</t>
        </is>
      </c>
      <c r="J4" s="4" t="inlineStr">
        <is>
          <t>Overnight</t>
        </is>
      </c>
      <c r="K4" s="4" t="inlineStr">
        <is>
          <t>Contract Limits</t>
        </is>
      </c>
      <c r="L4" s="4" t="inlineStr">
        <is>
          <t>Copy Trading</t>
        </is>
      </c>
      <c r="M4" s="4" t="inlineStr">
        <is>
          <t>Automation</t>
        </is>
      </c>
    </row>
    <row r="5">
      <c r="A5" s="2" t="inlineStr">
        <is>
          <t>Apex Trader Funding</t>
        </is>
      </c>
      <c r="B5" s="2" t="inlineStr">
        <is>
          <t>50K EOD Evaluation</t>
        </is>
      </c>
      <c r="C5" s="2" t="inlineStr">
        <is>
          <t>EOD trailing; enforced next session</t>
        </is>
      </c>
      <c r="D5" s="11" t="n">
        <v>3000</v>
      </c>
      <c r="E5" s="11" t="n">
        <v>2000</v>
      </c>
      <c r="F5" s="2" t="inlineStr">
        <is>
          <t>$1,000 fixed session DLL</t>
        </is>
      </c>
      <c r="G5" s="2" t="n">
        <v>1</v>
      </c>
      <c r="H5" s="2" t="inlineStr">
        <is>
          <t>None to pass; 50% at payout</t>
        </is>
      </c>
      <c r="I5" s="2" t="inlineStr">
        <is>
          <t>Allowed, subject to conduct rules</t>
        </is>
      </c>
      <c r="J5" s="2" t="inlineStr">
        <is>
          <t>Intraday only; flat by close</t>
        </is>
      </c>
      <c r="K5" s="2" t="inlineStr">
        <is>
          <t>6 (official support page table should be rechecked at checkout) -&gt; 6</t>
        </is>
      </c>
      <c r="L5" s="2" t="inlineStr">
        <is>
          <t>Yes, own accounts; avoid prohibited coordination/hedging</t>
        </is>
      </c>
      <c r="M5" s="2" t="inlineStr">
        <is>
          <t>Restricted; verify current prohibited-conduct policy</t>
        </is>
      </c>
    </row>
    <row r="6">
      <c r="A6" s="2" t="inlineStr">
        <is>
          <t>Alpha Futures</t>
        </is>
      </c>
      <c r="B6" s="2" t="inlineStr">
        <is>
          <t>50K Standard Evaluation</t>
        </is>
      </c>
      <c r="C6" s="2" t="inlineStr">
        <is>
          <t>EOD trailing, locks near starting balance</t>
        </is>
      </c>
      <c r="D6" s="11" t="n">
        <v>3000</v>
      </c>
      <c r="E6" s="11" t="n">
        <v>2000</v>
      </c>
      <c r="F6" s="2" t="inlineStr">
        <is>
          <t>None eval; 2% daily loss guard qualified</t>
        </is>
      </c>
      <c r="G6" s="2" t="n">
        <v>2</v>
      </c>
      <c r="H6" s="2" t="inlineStr">
        <is>
          <t>50% eval; 40% Standard qualified</t>
        </is>
      </c>
      <c r="I6" s="2" t="inlineStr">
        <is>
          <t>Eval yes; funded varies by plan</t>
        </is>
      </c>
      <c r="J6" s="2" t="inlineStr">
        <is>
          <t>No; flat by 4:20 PM ET</t>
        </is>
      </c>
      <c r="K6" s="2" t="inlineStr">
        <is>
          <t>Scaling plan -&gt; 5 minis / 50 micros</t>
        </is>
      </c>
      <c r="L6" s="2" t="inlineStr">
        <is>
          <t>Own-account copying may be supported; copying another trader prohibited</t>
        </is>
      </c>
      <c r="M6" s="2" t="inlineStr">
        <is>
          <t>Algorithmic support reported; verify copier/bot policy</t>
        </is>
      </c>
    </row>
    <row r="7">
      <c r="A7" s="2" t="inlineStr">
        <is>
          <t>Tradeify</t>
        </is>
      </c>
      <c r="B7" s="2" t="inlineStr">
        <is>
          <t>50K Select Evaluation</t>
        </is>
      </c>
      <c r="C7" s="2" t="inlineStr">
        <is>
          <t>EOD trailing; locks at $50,100</t>
        </is>
      </c>
      <c r="D7" s="11" t="n">
        <v>3000</v>
      </c>
      <c r="E7" s="11" t="n">
        <v>2000</v>
      </c>
      <c r="F7" s="2" t="inlineStr">
        <is>
          <t>None in Select eval/Flex funded</t>
        </is>
      </c>
      <c r="G7" s="2" t="n">
        <v>3</v>
      </c>
      <c r="H7" s="2" t="inlineStr">
        <is>
          <t>40% eval; none on Select Flex funded</t>
        </is>
      </c>
      <c r="I7" s="2" t="inlineStr">
        <is>
          <t>Allowed with restrictions around prohibited conduct</t>
        </is>
      </c>
      <c r="J7" s="2" t="inlineStr">
        <is>
          <t>Needs verification</t>
        </is>
      </c>
      <c r="K7" s="2" t="inlineStr">
        <is>
          <t>2 minis / 20 micros funded -&gt; 4 minis / 40 micros</t>
        </is>
      </c>
      <c r="L7" s="2" t="inlineStr">
        <is>
          <t>Yes across own accounts; no hedging/circumvention</t>
        </is>
      </c>
      <c r="M7" s="2" t="inlineStr">
        <is>
          <t>Copiers supported; automation policy needs verification</t>
        </is>
      </c>
    </row>
    <row r="8">
      <c r="A8" s="2" t="inlineStr">
        <is>
          <t>Lucid Trading</t>
        </is>
      </c>
      <c r="B8" s="2" t="inlineStr">
        <is>
          <t>50K LucidPro Evaluation</t>
        </is>
      </c>
      <c r="C8" s="2" t="inlineStr">
        <is>
          <t>EOD trailing</t>
        </is>
      </c>
      <c r="D8" s="11" t="n">
        <v>3000</v>
      </c>
      <c r="E8" s="11" t="n">
        <v>2000</v>
      </c>
      <c r="F8" s="2" t="inlineStr">
        <is>
          <t>$1,200</t>
        </is>
      </c>
      <c r="G8" s="2" t="n">
        <v>1</v>
      </c>
      <c r="H8" s="2" t="inlineStr">
        <is>
          <t>None eval; 40% funded payout cycle</t>
        </is>
      </c>
      <c r="I8" s="2" t="inlineStr">
        <is>
          <t>Needs verification by plan</t>
        </is>
      </c>
      <c r="J8" s="2" t="inlineStr">
        <is>
          <t>Needs verification</t>
        </is>
      </c>
      <c r="K8" s="2" t="inlineStr">
        <is>
          <t>4 minis / 40 micros -&gt; 4 minis / 40 micros</t>
        </is>
      </c>
      <c r="L8" s="2" t="inlineStr">
        <is>
          <t>Own-account copying appears supported; confirm current automation policy</t>
        </is>
      </c>
      <c r="M8" s="2" t="inlineStr">
        <is>
          <t>Needs verification in writing</t>
        </is>
      </c>
    </row>
    <row r="9">
      <c r="A9" s="2" t="inlineStr">
        <is>
          <t>Topstep</t>
        </is>
      </c>
      <c r="B9" s="2" t="inlineStr">
        <is>
          <t>50K Standard Trading Combine</t>
        </is>
      </c>
      <c r="C9" s="2" t="inlineStr">
        <is>
          <t>Trailing Maximum Loss Limit based on balance</t>
        </is>
      </c>
      <c r="D9" s="11" t="n">
        <v>3000</v>
      </c>
      <c r="E9" s="11" t="n">
        <v>2000</v>
      </c>
      <c r="F9" s="2" t="inlineStr">
        <is>
          <t>Optional soft DLL discount; no required DLL in Combine</t>
        </is>
      </c>
      <c r="G9" s="2" t="n">
        <v>2</v>
      </c>
      <c r="H9" s="2" t="inlineStr">
        <is>
          <t>50% Combine; choose Standard or 40% Consistency XFA</t>
        </is>
      </c>
      <c r="I9" s="2" t="inlineStr">
        <is>
          <t>Generally allowed; follow permitted trading hours</t>
        </is>
      </c>
      <c r="J9" s="2" t="inlineStr">
        <is>
          <t>No; intraday futures hours</t>
        </is>
      </c>
      <c r="K9" s="2" t="inlineStr">
        <is>
          <t>Scaling plan in funded -&gt; 5 minis / 50 micros in Combine</t>
        </is>
      </c>
      <c r="L9" s="2" t="inlineStr">
        <is>
          <t>TopstepX trade copier available; strict no cross-account hedging</t>
        </is>
      </c>
      <c r="M9" s="2" t="inlineStr">
        <is>
          <t>Trade copier supported; automation subject to prohibited-conduct rules</t>
        </is>
      </c>
    </row>
    <row r="10">
      <c r="A10" s="2" t="inlineStr">
        <is>
          <t>Take Profit Trader</t>
        </is>
      </c>
      <c r="B10" s="2" t="inlineStr">
        <is>
          <t>50K Test</t>
        </is>
      </c>
      <c r="C10" s="2" t="inlineStr">
        <is>
          <t>EOD trailing in Test; PRO mechanics tighten around buffer</t>
        </is>
      </c>
      <c r="D10" s="11" t="n">
        <v>3000</v>
      </c>
      <c r="E10" s="11" t="n">
        <v>2000</v>
      </c>
      <c r="F10" s="2" t="inlineStr">
        <is>
          <t>None on current Test; confirm at checkout</t>
        </is>
      </c>
      <c r="G10" s="2" t="n">
        <v>5</v>
      </c>
      <c r="H10" s="2" t="inlineStr">
        <is>
          <t>50% Test; none PRO</t>
        </is>
      </c>
      <c r="I10" s="2" t="inlineStr">
        <is>
          <t>Allowed</t>
        </is>
      </c>
      <c r="J10" s="2" t="inlineStr">
        <is>
          <t>No</t>
        </is>
      </c>
      <c r="K10" s="2" t="inlineStr">
        <is>
          <t>Scaling plan -&gt; 6 minis / 60 micros</t>
        </is>
      </c>
      <c r="L10" s="2" t="inlineStr">
        <is>
          <t>Yes across own accounts; no hedging</t>
        </is>
      </c>
      <c r="M10" s="2" t="inlineStr">
        <is>
          <t>Copiers allowed; bots/EAs restricted</t>
        </is>
      </c>
    </row>
    <row r="11">
      <c r="A11" s="2" t="inlineStr">
        <is>
          <t>MyFundedFutures</t>
        </is>
      </c>
      <c r="B11" s="2" t="inlineStr">
        <is>
          <t>50K Flex</t>
        </is>
      </c>
      <c r="C11" s="2" t="inlineStr">
        <is>
          <t>EOD trailing in eval and Flex sim-funded</t>
        </is>
      </c>
      <c r="D11" s="11" t="n">
        <v>3000</v>
      </c>
      <c r="E11" s="11" t="n">
        <v>2000</v>
      </c>
      <c r="F11" s="2" t="inlineStr">
        <is>
          <t>None (optional lower-priced DLL add-on variant)</t>
        </is>
      </c>
      <c r="G11" s="2" t="n">
        <v>2</v>
      </c>
      <c r="H11" s="2" t="inlineStr">
        <is>
          <t>50% eval only; none payout stage</t>
        </is>
      </c>
      <c r="I11" s="2" t="inlineStr">
        <is>
          <t>Allowed</t>
        </is>
      </c>
      <c r="J11" s="2" t="inlineStr">
        <is>
          <t>Needs verification</t>
        </is>
      </c>
      <c r="K11" s="2" t="inlineStr">
        <is>
          <t>2 minis / 20 micros -&gt; 5 minis / 50 micros after scaling</t>
        </is>
      </c>
      <c r="L11" s="2" t="inlineStr">
        <is>
          <t>Own-account copier supported subject to anti-hedging rules</t>
        </is>
      </c>
      <c r="M11" s="2" t="inlineStr">
        <is>
          <t>Copiers supported; bot policy needs verification</t>
        </is>
      </c>
    </row>
    <row r="12">
      <c r="A12" s="2" t="inlineStr">
        <is>
          <t>Bulenox</t>
        </is>
      </c>
      <c r="B12" s="2" t="inlineStr">
        <is>
          <t>50K Option 2 EOD/Scaling</t>
        </is>
      </c>
      <c r="C12" s="2" t="inlineStr">
        <is>
          <t>EOD trailing/scaling</t>
        </is>
      </c>
      <c r="D12" s="11" t="n">
        <v>3000</v>
      </c>
      <c r="E12" s="11" t="n">
        <v>2500</v>
      </c>
      <c r="F12" s="2" t="inlineStr">
        <is>
          <t>$1,100 soft daily suspension on Option 2</t>
        </is>
      </c>
      <c r="G12" s="2" t="n">
        <v>5</v>
      </c>
      <c r="H12" s="2" t="inlineStr">
        <is>
          <t>Consistency applies in Master payout stage; exact current % needs verification</t>
        </is>
      </c>
      <c r="I12" s="2" t="inlineStr">
        <is>
          <t>Needs verification</t>
        </is>
      </c>
      <c r="J12" s="2" t="inlineStr">
        <is>
          <t>Limited micros only on legacy help text</t>
        </is>
      </c>
      <c r="K12" s="2" t="inlineStr">
        <is>
          <t>2 minis -&gt; 7 after scaling</t>
        </is>
      </c>
      <c r="L12" s="2" t="inlineStr">
        <is>
          <t>Needs verification</t>
        </is>
      </c>
      <c r="M12" s="2" t="inlineStr">
        <is>
          <t>Needs verification</t>
        </is>
      </c>
    </row>
    <row r="13">
      <c r="A13" s="2" t="inlineStr">
        <is>
          <t>Earn2Trade</t>
        </is>
      </c>
      <c r="B13" s="2" t="inlineStr">
        <is>
          <t>TCP50</t>
        </is>
      </c>
      <c r="C13" s="2" t="inlineStr">
        <is>
          <t>EOD drawdown, but open/closed equity monitored intraday</t>
        </is>
      </c>
      <c r="D13" s="11" t="n">
        <v>3000</v>
      </c>
      <c r="E13" s="11" t="n">
        <v>2000</v>
      </c>
      <c r="F13" s="2" t="inlineStr">
        <is>
          <t>$1,100</t>
        </is>
      </c>
      <c r="G13" s="2" t="n">
        <v>10</v>
      </c>
      <c r="H13" s="2" t="inlineStr">
        <is>
          <t>Consistency required; exact formula needs verification</t>
        </is>
      </c>
      <c r="I13" s="2" t="inlineStr">
        <is>
          <t>Approved trading times only</t>
        </is>
      </c>
      <c r="J13" s="2" t="inlineStr">
        <is>
          <t>No</t>
        </is>
      </c>
      <c r="K13" s="2" t="inlineStr">
        <is>
          <t>Progression ladder -&gt; Up to 6</t>
        </is>
      </c>
      <c r="L13" s="2" t="inlineStr">
        <is>
          <t>No</t>
        </is>
      </c>
      <c r="M13" s="2" t="inlineStr">
        <is>
          <t>Copy traders prohibited; automation needs approval</t>
        </is>
      </c>
    </row>
    <row r="14">
      <c r="A14" s="2" t="inlineStr">
        <is>
          <t>Elite Trader Funding</t>
        </is>
      </c>
      <c r="B14" s="2" t="inlineStr">
        <is>
          <t>50K EOD Evaluation</t>
        </is>
      </c>
      <c r="C14" s="2" t="inlineStr">
        <is>
          <t>EOD trailing</t>
        </is>
      </c>
      <c r="D14" s="11" t="n">
        <v>3000</v>
      </c>
      <c r="E14" s="11" t="n">
        <v>2000</v>
      </c>
      <c r="F14" s="2" t="inlineStr">
        <is>
          <t>$1,100</t>
        </is>
      </c>
      <c r="G14" s="2" t="n">
        <v>5</v>
      </c>
      <c r="H14" s="2" t="inlineStr">
        <is>
          <t>Needs verification</t>
        </is>
      </c>
      <c r="I14" s="2" t="inlineStr">
        <is>
          <t>Needs verification</t>
        </is>
      </c>
      <c r="J14" s="2" t="inlineStr">
        <is>
          <t>Needs verification</t>
        </is>
      </c>
      <c r="K14" s="2" t="inlineStr">
        <is>
          <t>8 minis / 80 micros -&gt; 8 minis / 80 micros; no scaling in evaluation</t>
        </is>
      </c>
      <c r="L14" s="2" t="inlineStr">
        <is>
          <t>Needs verification</t>
        </is>
      </c>
      <c r="M14" s="2" t="inlineStr">
        <is>
          <t>Needs verification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5" customWidth="1" min="3" max="3"/>
    <col width="16" customWidth="1" min="4" max="4"/>
    <col width="18" customWidth="1" min="5" max="5"/>
    <col width="42" customWidth="1" min="6" max="6"/>
    <col width="14" customWidth="1" min="7" max="7"/>
    <col width="42" customWidth="1" min="8" max="8"/>
    <col width="42" customWidth="1" min="9" max="9"/>
    <col width="42" customWidth="1" min="10" max="10"/>
  </cols>
  <sheetData>
    <row r="1" ht="30" customHeight="1">
      <c r="A1" s="1" t="inlineStr">
        <is>
          <t>Payout Matrix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Net payout values depend on each firm's stated profit split.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Company</t>
        </is>
      </c>
      <c r="B4" s="4" t="inlineStr">
        <is>
          <t>First Payout Timing</t>
        </is>
      </c>
      <c r="C4" s="4" t="inlineStr">
        <is>
          <t>Required Days</t>
        </is>
      </c>
      <c r="D4" s="4" t="inlineStr">
        <is>
          <t>Minimum Payout</t>
        </is>
      </c>
      <c r="E4" s="4" t="inlineStr">
        <is>
          <t>Max First Payout</t>
        </is>
      </c>
      <c r="F4" s="4" t="inlineStr">
        <is>
          <t>Recurring Cap</t>
        </is>
      </c>
      <c r="G4" s="4" t="inlineStr">
        <is>
          <t>Profit Split</t>
        </is>
      </c>
      <c r="H4" s="4" t="inlineStr">
        <is>
          <t>Frequency</t>
        </is>
      </c>
      <c r="I4" s="4" t="inlineStr">
        <is>
          <t>Buffer Rules</t>
        </is>
      </c>
      <c r="J4" s="4" t="inlineStr">
        <is>
          <t>Payout Effect / Caps</t>
        </is>
      </c>
    </row>
    <row r="5">
      <c r="A5" s="2" t="inlineStr">
        <is>
          <t>Apex Trader Funding</t>
        </is>
      </c>
      <c r="B5" s="2" t="inlineStr">
        <is>
          <t>After 5 qualifying days at $250+ each</t>
        </is>
      </c>
      <c r="C5" s="2" t="n">
        <v>5</v>
      </c>
      <c r="D5" s="11" t="n">
        <v>500</v>
      </c>
      <c r="E5" s="11" t="n">
        <v>1500</v>
      </c>
      <c r="F5" s="2" t="inlineStr">
        <is>
          <t>Payouts 1-6: $1.5k, $1.5k, $2k, $2.5k, $2.5k, $3k</t>
        </is>
      </c>
      <c r="G5" s="13" t="n">
        <v>1</v>
      </c>
      <c r="H5" s="2" t="inlineStr">
        <is>
          <t>Up to weekly</t>
        </is>
      </c>
      <c r="I5" s="2" t="inlineStr">
        <is>
          <t>$2,100 safety net; $52,600 balance to request $500</t>
        </is>
      </c>
      <c r="J5" s="2" t="inlineStr">
        <is>
          <t>Only profit above safety net withdrawable; PA closes after payout 6</t>
        </is>
      </c>
    </row>
    <row r="6">
      <c r="A6" s="2" t="inlineStr">
        <is>
          <t>Alpha Futures</t>
        </is>
      </c>
      <c r="B6" s="2" t="inlineStr">
        <is>
          <t>After 5 winning days of $200+</t>
        </is>
      </c>
      <c r="C6" s="2" t="n">
        <v>5</v>
      </c>
      <c r="D6" s="11" t="n">
        <v>200</v>
      </c>
      <c r="E6" s="11" t="n">
        <v>1500</v>
      </c>
      <c r="F6" s="2" t="inlineStr">
        <is>
          <t>$1,500/request on current 50K plan shown</t>
        </is>
      </c>
      <c r="G6" s="13" t="n">
        <v>0.9</v>
      </c>
      <c r="H6" s="2" t="inlineStr">
        <is>
          <t>Up to 4x/month</t>
        </is>
      </c>
      <c r="I6" s="2" t="inlineStr">
        <is>
          <t>May withdraw up to 50% of profit/request</t>
        </is>
      </c>
      <c r="J6" s="2" t="inlineStr">
        <is>
          <t>Drawdown protection remains important</t>
        </is>
      </c>
    </row>
    <row r="7">
      <c r="A7" s="2" t="inlineStr">
        <is>
          <t>Tradeify</t>
        </is>
      </c>
      <c r="B7" s="2" t="inlineStr">
        <is>
          <t>Select Flex after 5 winning days; Daily path can qualify daily</t>
        </is>
      </c>
      <c r="C7" s="2" t="n">
        <v>5</v>
      </c>
      <c r="D7" s="11" t="n">
        <v>250</v>
      </c>
      <c r="E7" s="11" t="n">
        <v>2000</v>
      </c>
      <c r="F7" s="2" t="inlineStr">
        <is>
          <t>Flex: generally 50% of profit; Daily capped $1,000 on 50K</t>
        </is>
      </c>
      <c r="G7" s="13" t="n">
        <v>0.9</v>
      </c>
      <c r="H7" s="2" t="inlineStr">
        <is>
          <t>Daily eligibility depending on selected path</t>
        </is>
      </c>
      <c r="I7" s="2" t="inlineStr">
        <is>
          <t>Path-specific; Select Flex lock trigger $52,100</t>
        </is>
      </c>
      <c r="J7" s="2" t="inlineStr">
        <is>
          <t>MLL locks at $50,100 after threshold/payout mechanics</t>
        </is>
      </c>
    </row>
    <row r="8">
      <c r="A8" s="2" t="inlineStr">
        <is>
          <t>Lucid Trading</t>
        </is>
      </c>
      <c r="B8" s="2" t="inlineStr">
        <is>
          <t>Any day after $500 cycle profit, 40% consistency, and buffer</t>
        </is>
      </c>
      <c r="C8" s="2" t="n">
        <v>3</v>
      </c>
      <c r="D8" s="11" t="n">
        <v>500</v>
      </c>
      <c r="E8" s="11" t="n">
        <v>2000</v>
      </c>
      <c r="F8" s="2" t="inlineStr">
        <is>
          <t>$2,500 from payout 2 onward</t>
        </is>
      </c>
      <c r="G8" s="13" t="n">
        <v>0.9</v>
      </c>
      <c r="H8" s="2" t="inlineStr">
        <is>
          <t>On demand; no fixed window</t>
        </is>
      </c>
      <c r="I8" s="2" t="inlineStr">
        <is>
          <t>$52,100; payout only above buffer</t>
        </is>
      </c>
      <c r="J8" s="2" t="inlineStr">
        <is>
          <t>Payout reduces cushion above locked loss floor</t>
        </is>
      </c>
    </row>
    <row r="9">
      <c r="A9" s="2" t="inlineStr">
        <is>
          <t>Topstep</t>
        </is>
      </c>
      <c r="B9" s="2" t="inlineStr">
        <is>
          <t>Standard: 5 days $150+; Consistency: 3 days plus 40%</t>
        </is>
      </c>
      <c r="C9" s="2" t="n">
        <v>5</v>
      </c>
      <c r="D9" s="11" t="n">
        <v>125</v>
      </c>
      <c r="E9" s="11" t="n">
        <v>2000</v>
      </c>
      <c r="F9" s="2" t="inlineStr">
        <is>
          <t>$2,000 Standard / $3,000 Consistency per request on new 50K</t>
        </is>
      </c>
      <c r="G9" s="13" t="n">
        <v>0.9</v>
      </c>
      <c r="H9" s="2" t="inlineStr">
        <is>
          <t>Weekly; daily after 30 winning live days</t>
        </is>
      </c>
      <c r="I9" s="2" t="inlineStr">
        <is>
          <t>Can request 50% of account balance/profit subject to cap</t>
        </is>
      </c>
      <c r="J9" s="2" t="inlineStr">
        <is>
          <t>Payout can reduce buying power and account cushion</t>
        </is>
      </c>
    </row>
    <row r="10">
      <c r="A10" s="2" t="inlineStr">
        <is>
          <t>Take Profit Trader</t>
        </is>
      </c>
      <c r="B10" s="2" t="inlineStr">
        <is>
          <t>Day one after reaching $52,000 buffer</t>
        </is>
      </c>
      <c r="C10" s="2" t="n">
        <v>1</v>
      </c>
      <c r="D10" s="11" t="n">
        <v>0</v>
      </c>
      <c r="E10" s="11" t="n">
        <v>5000</v>
      </c>
      <c r="F10" s="2" t="inlineStr">
        <is>
          <t>No stated cycle cap above buffer; firm may move trader to PRO+ live</t>
        </is>
      </c>
      <c r="G10" s="13" t="n">
        <v>0.8</v>
      </c>
      <c r="H10" s="2" t="inlineStr">
        <is>
          <t>Daily/on demand</t>
        </is>
      </c>
      <c r="I10" s="2" t="inlineStr">
        <is>
          <t>$2,000 buffer; normal withdrawals only once balance reaches $52,000</t>
        </is>
      </c>
      <c r="J10" s="2" t="inlineStr">
        <is>
          <t>Withdrawing above buffer preserves floor; inside-buffer withdrawal generally terminates account</t>
        </is>
      </c>
    </row>
    <row r="11">
      <c r="A11" s="2" t="inlineStr">
        <is>
          <t>MyFundedFutures</t>
        </is>
      </c>
      <c r="B11" s="2" t="inlineStr">
        <is>
          <t>5 days at $150+ net</t>
        </is>
      </c>
      <c r="C11" s="2" t="n">
        <v>5</v>
      </c>
      <c r="D11" s="11" t="n">
        <v>500</v>
      </c>
      <c r="E11" s="11" t="n">
        <v>2000</v>
      </c>
      <c r="F11" s="2" t="inlineStr">
        <is>
          <t>50% of net profit up to $2,000/cycle; max 5 sim payouts</t>
        </is>
      </c>
      <c r="G11" s="13" t="n">
        <v>0.8</v>
      </c>
      <c r="H11" s="2" t="inlineStr">
        <is>
          <t>Weekly/performance based</t>
        </is>
      </c>
      <c r="I11" s="2" t="inlineStr">
        <is>
          <t>No buffer requirement</t>
        </is>
      </c>
      <c r="J11" s="2" t="inlineStr">
        <is>
          <t>After first payout max loss becomes fixed at $100</t>
        </is>
      </c>
    </row>
    <row r="12">
      <c r="A12" s="2" t="inlineStr">
        <is>
          <t>Bulenox</t>
        </is>
      </c>
      <c r="B12" s="2" t="inlineStr">
        <is>
          <t>After 10 individual trading days</t>
        </is>
      </c>
      <c r="C12" s="2" t="n">
        <v>10</v>
      </c>
      <c r="D12" s="11" t="n">
        <v>1000</v>
      </c>
      <c r="E12" s="11" t="n">
        <v>1500</v>
      </c>
      <c r="F12" s="2" t="inlineStr">
        <is>
          <t>$1,500 for first 3 payouts; later rules/live consolidation apply</t>
        </is>
      </c>
      <c r="G12" s="13" t="n">
        <v>1</v>
      </c>
      <c r="H12" s="2" t="inlineStr">
        <is>
          <t>Weekly processing on Wednesday</t>
        </is>
      </c>
      <c r="I12" s="2" t="inlineStr">
        <is>
          <t>$2,600 safety reserve</t>
        </is>
      </c>
      <c r="J12" s="2" t="inlineStr">
        <is>
          <t>Reserve remains; after 3 payouts accounts may consolidate to one live account</t>
        </is>
      </c>
    </row>
    <row r="13">
      <c r="A13" s="2" t="inlineStr">
        <is>
          <t>Earn2Trade</t>
        </is>
      </c>
      <c r="B13" s="2" t="inlineStr">
        <is>
          <t>Funded withdrawals over $100; first must also cover $139 setup</t>
        </is>
      </c>
      <c r="C13" s="2" t="n">
        <v>1</v>
      </c>
      <c r="D13" s="11" t="n">
        <v>100</v>
      </c>
      <c r="E13" s="11" t="n">
        <v>3000</v>
      </c>
      <c r="F13" s="2" t="inlineStr">
        <is>
          <t>No simple cycle cap; TCP scaling model</t>
        </is>
      </c>
      <c r="G13" s="13" t="n">
        <v>0.8</v>
      </c>
      <c r="H13" s="2" t="inlineStr">
        <is>
          <t>On request through partner/Rise</t>
        </is>
      </c>
      <c r="I13" s="2" t="inlineStr">
        <is>
          <t>First profit must cover $100 minimum + $139 setup</t>
        </is>
      </c>
      <c r="J13" s="2" t="inlineStr">
        <is>
          <t>Withdraw profit target to advance to larger account in TCP</t>
        </is>
      </c>
    </row>
    <row r="14">
      <c r="A14" s="2" t="inlineStr">
        <is>
          <t>Elite Trader Funding</t>
        </is>
      </c>
      <c r="B14" s="2" t="inlineStr">
        <is>
          <t>Active Trade Day cycles; exact 50K EOD table needs verification</t>
        </is>
      </c>
      <c r="C14" s="2" t="n">
        <v>10</v>
      </c>
      <c r="D14" s="11" t="n">
        <v>500</v>
      </c>
      <c r="E14" s="11" t="n">
        <v>1500</v>
      </c>
      <c r="F14" s="2" t="inlineStr">
        <is>
          <t>$25,000 aggregate trader cap before live transition stated</t>
        </is>
      </c>
      <c r="G14" s="13" t="n">
        <v>0.9</v>
      </c>
      <c r="H14" s="2" t="inlineStr">
        <is>
          <t>By payout cycle</t>
        </is>
      </c>
      <c r="I14" s="2" t="inlineStr">
        <is>
          <t>Needs verification</t>
        </is>
      </c>
      <c r="J14" s="2" t="inlineStr">
        <is>
          <t>Needs verification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3" customWidth="1" min="3" max="3"/>
    <col width="48" customWidth="1" min="4" max="4"/>
    <col width="48" customWidth="1" min="5" max="5"/>
    <col width="18" customWidth="1" min="6" max="6"/>
    <col width="19" customWidth="1" min="7" max="7"/>
    <col width="15" customWidth="1" min="8" max="8"/>
    <col width="27" customWidth="1" min="9" max="9"/>
    <col width="40" customWidth="1" min="10" max="10"/>
    <col width="55" customWidth="1" min="11" max="11"/>
  </cols>
  <sheetData>
    <row r="1" ht="30" customHeight="1">
      <c r="A1" s="1" t="inlineStr">
        <is>
          <t>Reputation / Risk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Review ratings are snapshots, not proof of payout reliability. Themes combine public reviews and documentation quality.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4" t="inlineStr">
        <is>
          <t>Company</t>
        </is>
      </c>
      <c r="B4" s="4" t="inlineStr">
        <is>
          <t>Trustpilot</t>
        </is>
      </c>
      <c r="C4" s="4" t="inlineStr">
        <is>
          <t>Reviews</t>
        </is>
      </c>
      <c r="D4" s="4" t="inlineStr">
        <is>
          <t>Common Complaints</t>
        </is>
      </c>
      <c r="E4" s="4" t="inlineStr">
        <is>
          <t>Common Praise</t>
        </is>
      </c>
      <c r="F4" s="4" t="inlineStr">
        <is>
          <t>Rule-Change Risk</t>
        </is>
      </c>
      <c r="G4" s="4" t="inlineStr">
        <is>
          <t>Payout-Denial Risk</t>
        </is>
      </c>
      <c r="H4" s="4" t="inlineStr">
        <is>
          <t>Overall Risk</t>
        </is>
      </c>
      <c r="I4" s="4" t="inlineStr">
        <is>
          <t>Longevity</t>
        </is>
      </c>
      <c r="J4" s="4" t="inlineStr">
        <is>
          <t>Transparency</t>
        </is>
      </c>
      <c r="K4" s="4" t="inlineStr">
        <is>
          <t>Review Source</t>
        </is>
      </c>
    </row>
    <row r="5">
      <c r="A5" s="2" t="inlineStr">
        <is>
          <t>Apex Trader Funding</t>
        </is>
      </c>
      <c r="B5" s="2" t="n">
        <v>4.3</v>
      </c>
      <c r="C5" s="2" t="n">
        <v>19517</v>
      </c>
      <c r="D5" s="2" t="inlineStr">
        <is>
          <t>Historical payout-review/rule-change complaints; promo/base pricing changes; strict conduct rules</t>
        </is>
      </c>
      <c r="E5" s="2" t="inlineStr">
        <is>
          <t>Large community, broad platform support, 100% current payout split, up to 20 accounts</t>
        </is>
      </c>
      <c r="F5" s="2" t="inlineStr">
        <is>
          <t>High</t>
        </is>
      </c>
      <c r="G5" s="2" t="inlineStr">
        <is>
          <t>Medium</t>
        </is>
      </c>
      <c r="H5" s="2" t="inlineStr">
        <is>
          <t>Medium</t>
        </is>
      </c>
      <c r="I5" s="2" t="inlineStr">
        <is>
          <t>Operating since 2021</t>
        </is>
      </c>
      <c r="J5" s="2" t="inlineStr">
        <is>
          <t>2026 program redesign; price is volatile and promo-led</t>
        </is>
      </c>
      <c r="K5" s="16" t="inlineStr">
        <is>
          <t>https://www.trustpilot.com/review/apextraderfunding.com</t>
        </is>
      </c>
    </row>
    <row r="6">
      <c r="A6" s="2" t="inlineStr">
        <is>
          <t>Alpha Futures</t>
        </is>
      </c>
      <c r="B6" s="2" t="n">
        <v>4.9</v>
      </c>
      <c r="C6" s="2" t="n">
        <v>3952</v>
      </c>
      <c r="D6" s="2" t="inlineStr">
        <is>
          <t>New proprietary platform issues; plan naming/pricing changes; consistency complexity</t>
        </is>
      </c>
      <c r="E6" s="2" t="inlineStr">
        <is>
          <t>Very high recent support ratings, EOD drawdown, fast support</t>
        </is>
      </c>
      <c r="F6" s="2" t="inlineStr">
        <is>
          <t>Medium</t>
        </is>
      </c>
      <c r="G6" s="2" t="inlineStr">
        <is>
          <t>Medium</t>
        </is>
      </c>
      <c r="H6" s="2" t="inlineStr">
        <is>
          <t>Medium</t>
        </is>
      </c>
      <c r="I6" s="2" t="inlineStr">
        <is>
          <t>Newer firm; shorter operating history than Topstep/Earn2Trade</t>
        </is>
      </c>
      <c r="J6" s="2" t="inlineStr">
        <is>
          <t>Current site and help-center plan labels conflict in places</t>
        </is>
      </c>
      <c r="K6" s="16" t="inlineStr">
        <is>
          <t>https://www.trustpilot.com/review/alpha-futures.com</t>
        </is>
      </c>
    </row>
    <row r="7">
      <c r="A7" s="2" t="inlineStr">
        <is>
          <t>Tradeify</t>
        </is>
      </c>
      <c r="B7" s="2" t="n">
        <v>4.6</v>
      </c>
      <c r="C7" s="2" t="n">
        <v>2961</v>
      </c>
      <c r="D7" s="2" t="inlineStr">
        <is>
          <t>Some KYC/account closure and support-resolution complaints; rules have evolved quickly</t>
        </is>
      </c>
      <c r="E7" s="2" t="inlineStr">
        <is>
          <t>Fast payouts/support, one-time pricing, permanent five-pack discount, flexible payout path</t>
        </is>
      </c>
      <c r="F7" s="2" t="inlineStr">
        <is>
          <t>Medium</t>
        </is>
      </c>
      <c r="G7" s="2" t="inlineStr">
        <is>
          <t>Low</t>
        </is>
      </c>
      <c r="H7" s="2" t="inlineStr">
        <is>
          <t>Low</t>
        </is>
      </c>
      <c r="I7" s="2" t="inlineStr">
        <is>
          <t>Launched 2024</t>
        </is>
      </c>
      <c r="J7" s="2" t="inlineStr">
        <is>
          <t>Excellent current pricing/rules documentation</t>
        </is>
      </c>
      <c r="K7" s="16" t="inlineStr">
        <is>
          <t>https://www.trustpilot.com/review/tradeify.co</t>
        </is>
      </c>
    </row>
    <row r="8">
      <c r="A8" s="2" t="inlineStr">
        <is>
          <t>Lucid Trading</t>
        </is>
      </c>
      <c r="B8" s="2" t="n">
        <v>4.7</v>
      </c>
      <c r="C8" s="2" t="n">
        <v>4125</v>
      </c>
      <c r="D8" s="2" t="inlineStr">
        <is>
          <t>Some closures/automation disputes and support delays; company is relatively new</t>
        </is>
      </c>
      <c r="E8" s="2" t="inlineStr">
        <is>
          <t>Very fast payout reports, clean dashboard, clear payout article, no activation fee</t>
        </is>
      </c>
      <c r="F8" s="2" t="inlineStr">
        <is>
          <t>Medium</t>
        </is>
      </c>
      <c r="G8" s="2" t="inlineStr">
        <is>
          <t>Medium</t>
        </is>
      </c>
      <c r="H8" s="2" t="inlineStr">
        <is>
          <t>Medium</t>
        </is>
      </c>
      <c r="I8" s="2" t="inlineStr">
        <is>
          <t>Operating since 2025</t>
        </is>
      </c>
      <c r="J8" s="2" t="inlineStr">
        <is>
          <t>Good help center; checkout pricing/promos change</t>
        </is>
      </c>
      <c r="K8" s="16" t="inlineStr">
        <is>
          <t>https://www.trustpilot.com/review/lucidtrading.com</t>
        </is>
      </c>
    </row>
    <row r="9">
      <c r="A9" s="2" t="inlineStr">
        <is>
          <t>Topstep</t>
        </is>
      </c>
      <c r="B9" s="2" t="n">
        <v>3.5</v>
      </c>
      <c r="C9" s="2" t="n">
        <v>14166</v>
      </c>
      <c r="D9" s="2" t="inlineStr">
        <is>
          <t>Strict hedging enforcement, subscription billing complaints, platform incidents</t>
        </is>
      </c>
      <c r="E9" s="2" t="inlineStr">
        <is>
          <t>12+ year history, real live progression, strong education, clear official help center</t>
        </is>
      </c>
      <c r="F9" s="2" t="inlineStr">
        <is>
          <t>Medium</t>
        </is>
      </c>
      <c r="G9" s="2" t="inlineStr">
        <is>
          <t>Low</t>
        </is>
      </c>
      <c r="H9" s="2" t="inlineStr">
        <is>
          <t>Low</t>
        </is>
      </c>
      <c r="I9" s="2" t="inlineStr">
        <is>
          <t>Founded 2012</t>
        </is>
      </c>
      <c r="J9" s="2" t="inlineStr">
        <is>
          <t>Best-in-class official documentation, though rules update often</t>
        </is>
      </c>
      <c r="K9" s="16" t="inlineStr">
        <is>
          <t>https://www.trustpilot.com/review/topstep.com</t>
        </is>
      </c>
    </row>
    <row r="10">
      <c r="A10" s="2" t="inlineStr">
        <is>
          <t>Take Profit Trader</t>
        </is>
      </c>
      <c r="B10" s="2" t="n">
        <v>4.4</v>
      </c>
      <c r="C10" s="2" t="n">
        <v>9562</v>
      </c>
      <c r="D10" s="2" t="inlineStr">
        <is>
          <t>PRO+ transition/support delays; conflicting third-party drawdown figures; monthly cost</t>
        </is>
      </c>
      <c r="E10" s="2" t="inlineStr">
        <is>
          <t>Daily withdrawals, long payout history, responsive support, clear core buffer concept</t>
        </is>
      </c>
      <c r="F10" s="2" t="inlineStr">
        <is>
          <t>Medium</t>
        </is>
      </c>
      <c r="G10" s="2" t="inlineStr">
        <is>
          <t>Medium</t>
        </is>
      </c>
      <c r="H10" s="2" t="inlineStr">
        <is>
          <t>Medium</t>
        </is>
      </c>
      <c r="I10" s="2" t="inlineStr">
        <is>
          <t>Operating since 2022</t>
        </is>
      </c>
      <c r="J10" s="2" t="inlineStr">
        <is>
          <t>Official help center clear on payouts; public pricing page less searchable</t>
        </is>
      </c>
      <c r="K10" s="16" t="inlineStr">
        <is>
          <t>https://www.trustpilot.com/review/takeprofittrader.com</t>
        </is>
      </c>
    </row>
    <row r="11">
      <c r="A11" s="2" t="inlineStr">
        <is>
          <t>MyFundedFutures</t>
        </is>
      </c>
      <c r="B11" s="2" t="n">
        <v>4.9</v>
      </c>
      <c r="C11" s="2" t="n">
        <v>18858</v>
      </c>
      <c r="D11" s="2" t="inlineStr">
        <is>
          <t>Frequent plan changes; strict post-payout $100 loss floor; KYC/support complaints</t>
        </is>
      </c>
      <c r="E11" s="2" t="inlineStr">
        <is>
          <t>No payout buffer, strong support ratings, clear current plan page, path to live after 5 payouts</t>
        </is>
      </c>
      <c r="F11" s="2" t="inlineStr">
        <is>
          <t>High</t>
        </is>
      </c>
      <c r="G11" s="2" t="inlineStr">
        <is>
          <t>Medium</t>
        </is>
      </c>
      <c r="H11" s="2" t="inlineStr">
        <is>
          <t>Medium</t>
        </is>
      </c>
      <c r="I11" s="2" t="inlineStr">
        <is>
          <t>Operating since 2023</t>
        </is>
      </c>
      <c r="J11" s="2" t="inlineStr">
        <is>
          <t>Current pages are detailed but product lineup changes frequently</t>
        </is>
      </c>
      <c r="K11" s="16" t="inlineStr">
        <is>
          <t>https://www.trustpilot.com/review/myfundedfutures.com</t>
        </is>
      </c>
    </row>
    <row r="12">
      <c r="A12" s="2" t="inlineStr">
        <is>
          <t>Bulenox</t>
        </is>
      </c>
      <c r="B12" s="2" t="n"/>
      <c r="C12" s="2" t="n"/>
      <c r="D12" s="2" t="inlineStr">
        <is>
          <t>Outdated help text, vague strategy enforcement reports, post-pass/live consolidation complexity</t>
        </is>
      </c>
      <c r="E12" s="2" t="inlineStr">
        <is>
          <t>100% first $10k stated, $2.5k drawdown, broad instruments</t>
        </is>
      </c>
      <c r="F12" s="2" t="inlineStr">
        <is>
          <t>High</t>
        </is>
      </c>
      <c r="G12" s="2" t="inlineStr">
        <is>
          <t>High</t>
        </is>
      </c>
      <c r="H12" s="2" t="inlineStr">
        <is>
          <t>High</t>
        </is>
      </c>
      <c r="I12" s="2" t="inlineStr">
        <is>
          <t>Operating for several years; exact founding date needs verification</t>
        </is>
      </c>
      <c r="J12" s="2" t="inlineStr">
        <is>
          <t>Public documentation appears dated and internally inconsistent</t>
        </is>
      </c>
      <c r="K12" s="2" t="inlineStr">
        <is>
          <t>Needs verification</t>
        </is>
      </c>
    </row>
    <row r="13">
      <c r="A13" s="2" t="inlineStr">
        <is>
          <t>Earn2Trade</t>
        </is>
      </c>
      <c r="B13" s="2" t="n">
        <v>4.7</v>
      </c>
      <c r="C13" s="2" t="n">
        <v>4828</v>
      </c>
      <c r="D13" s="2" t="inlineStr">
        <is>
          <t>More restrictive rules, 10-day test, no copier, partner/data/setup complexity</t>
        </is>
      </c>
      <c r="E13" s="2" t="inlineStr">
        <is>
          <t>Founded 2016, transparent pass/withdrawal statistics, education, genuine live-account option</t>
        </is>
      </c>
      <c r="F13" s="2" t="inlineStr">
        <is>
          <t>Medium</t>
        </is>
      </c>
      <c r="G13" s="2" t="inlineStr">
        <is>
          <t>Low</t>
        </is>
      </c>
      <c r="H13" s="2" t="inlineStr">
        <is>
          <t>Low</t>
        </is>
      </c>
      <c r="I13" s="2" t="inlineStr">
        <is>
          <t>Founded 2016</t>
        </is>
      </c>
      <c r="J13" s="2" t="inlineStr">
        <is>
          <t>Very transparent disclosures, but not designed for account stacking</t>
        </is>
      </c>
      <c r="K13" s="16" t="inlineStr">
        <is>
          <t>https://www.trustpilot.com/review/www.earn2trade.com</t>
        </is>
      </c>
    </row>
    <row r="14">
      <c r="A14" s="2" t="inlineStr">
        <is>
          <t>Elite Trader Funding</t>
        </is>
      </c>
      <c r="B14" s="2" t="n"/>
      <c r="C14" s="2" t="n"/>
      <c r="D14" s="2" t="inlineStr">
        <is>
          <t>Complex product catalog and payout-cycle rules; current public tables difficult to extract</t>
        </is>
      </c>
      <c r="E14" s="2" t="inlineStr">
        <is>
          <t>High contract limit, EOD option, established platform/data package</t>
        </is>
      </c>
      <c r="F14" s="2" t="inlineStr">
        <is>
          <t>High</t>
        </is>
      </c>
      <c r="G14" s="2" t="inlineStr">
        <is>
          <t>High</t>
        </is>
      </c>
      <c r="H14" s="2" t="inlineStr">
        <is>
          <t>High</t>
        </is>
      </c>
      <c r="I14" s="2" t="inlineStr">
        <is>
          <t>Operating several years</t>
        </is>
      </c>
      <c r="J14" s="2" t="inlineStr">
        <is>
          <t>Current public information is fragmented</t>
        </is>
      </c>
      <c r="K14" s="2" t="inlineStr">
        <is>
          <t>Needs verification</t>
        </is>
      </c>
    </row>
  </sheetData>
  <mergeCells count="2">
    <mergeCell ref="A1:J1"/>
    <mergeCell ref="A2:J2"/>
  </mergeCells>
  <conditionalFormatting sqref="F5:F14">
    <cfRule type="cellIs" priority="1" operator="equal" dxfId="1">
      <formula>"High"</formula>
    </cfRule>
  </conditionalFormatting>
  <conditionalFormatting sqref="G5:G14">
    <cfRule type="cellIs" priority="2" operator="equal" dxfId="1">
      <formula>"High"</formula>
    </cfRule>
  </conditionalFormatting>
  <conditionalFormatting sqref="H5:H14">
    <cfRule type="cellIs" priority="3" operator="equal" dxfId="1">
      <formula>"High"</formula>
    </cfRule>
  </conditionalFormatting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3" r:id="rId8"/>
  </hyperlinks>
  <pageMargins left="0.75" right="0.75" top="1" bottom="1" header="0.5" footer="0.5"/>
  <pageSetup orientation="landscape" fitToWidth="1"/>
  <tableParts count="1">
    <tablePart xmlns:r="http://schemas.openxmlformats.org/officeDocument/2006/relationships" r:id="rId9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O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5" customWidth="1" min="3" max="3"/>
    <col width="15" customWidth="1" min="4" max="4"/>
    <col width="21" customWidth="1" min="5" max="5"/>
    <col width="20" customWidth="1" min="6" max="6"/>
    <col width="13" customWidth="1" min="7" max="7"/>
    <col width="13" customWidth="1" min="8" max="8"/>
    <col width="14" customWidth="1" min="9" max="9"/>
    <col width="13" customWidth="1" min="10" max="10"/>
    <col width="18" customWidth="1" min="11" max="11"/>
    <col width="22" customWidth="1" min="12" max="12"/>
    <col width="24" customWidth="1" min="13" max="13"/>
    <col width="25" customWidth="1" min="14" max="14"/>
    <col width="20" customWidth="1" min="15" max="15"/>
  </cols>
  <sheetData>
    <row r="1" ht="30" customHeight="1">
      <c r="A1" s="1" t="inlineStr">
        <is>
          <t>Weighted Scorecard &amp;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Weights: Cost 20%, Rules/Drawdown 20%, Payout 25%, Multi-account 15%, Reputation/Transparency 20%. Inputs scored 1-10.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7" t="inlineStr">
        <is>
          <t>Visible scoring weights -&gt;</t>
        </is>
      </c>
      <c r="B3" s="2" t="n"/>
      <c r="C3" s="2" t="n"/>
      <c r="D3" s="2" t="n"/>
      <c r="E3" s="2" t="n"/>
      <c r="F3" s="2" t="n"/>
      <c r="G3" s="13" t="n">
        <v>0.2</v>
      </c>
      <c r="H3" s="13" t="n">
        <v>0.2</v>
      </c>
      <c r="I3" s="13" t="n">
        <v>0.25</v>
      </c>
      <c r="J3" s="13" t="n">
        <v>0.15</v>
      </c>
      <c r="K3" s="13" t="n">
        <v>0.2</v>
      </c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4" t="inlineStr">
        <is>
          <t>Company</t>
        </is>
      </c>
      <c r="B5" s="4" t="inlineStr">
        <is>
          <t>Cost (1-10)</t>
        </is>
      </c>
      <c r="C5" s="4" t="inlineStr">
        <is>
          <t>Rules (1-10)</t>
        </is>
      </c>
      <c r="D5" s="4" t="inlineStr">
        <is>
          <t>Payout (1-10)</t>
        </is>
      </c>
      <c r="E5" s="4" t="inlineStr">
        <is>
          <t>Multi-Account (1-10)</t>
        </is>
      </c>
      <c r="F5" s="4" t="inlineStr">
        <is>
          <t>Reputation (1-10)</t>
        </is>
      </c>
      <c r="G5" s="4" t="inlineStr">
        <is>
          <t>Cost Weight</t>
        </is>
      </c>
      <c r="H5" s="4" t="inlineStr">
        <is>
          <t>Rules Weight</t>
        </is>
      </c>
      <c r="I5" s="4" t="inlineStr">
        <is>
          <t>Payout Weight</t>
        </is>
      </c>
      <c r="J5" s="4" t="inlineStr">
        <is>
          <t>Multi Weight</t>
        </is>
      </c>
      <c r="K5" s="4" t="inlineStr">
        <is>
          <t>Reputation Weight</t>
        </is>
      </c>
      <c r="L5" s="4" t="inlineStr">
        <is>
          <t>Weighted Score / 100</t>
        </is>
      </c>
      <c r="M5" s="4" t="inlineStr">
        <is>
          <t>Cost to First Payout x5</t>
        </is>
      </c>
      <c r="N5" s="4" t="inlineStr">
        <is>
          <t>Max First Payout x5 Net</t>
        </is>
      </c>
      <c r="O5" s="4" t="inlineStr">
        <is>
          <t>Payout Flexibility</t>
        </is>
      </c>
    </row>
    <row r="6">
      <c r="A6" s="2" t="inlineStr">
        <is>
          <t>Apex Trader Funding</t>
        </is>
      </c>
      <c r="B6" s="2" t="n">
        <v>8</v>
      </c>
      <c r="C6" s="2" t="n">
        <v>7</v>
      </c>
      <c r="D6" s="2" t="n">
        <v>7</v>
      </c>
      <c r="E6" s="2" t="n">
        <v>10</v>
      </c>
      <c r="F6" s="2" t="n">
        <v>7</v>
      </c>
      <c r="G6" s="2" t="n">
        <v>0.2</v>
      </c>
      <c r="H6" s="2" t="n">
        <v>0.2</v>
      </c>
      <c r="I6" s="2" t="n">
        <v>0.25</v>
      </c>
      <c r="J6" s="2" t="n">
        <v>0.15</v>
      </c>
      <c r="K6" s="2" t="n">
        <v>0.2</v>
      </c>
      <c r="L6" s="10">
        <f>SUMPRODUCT(B6:F6,G6:K6)*10</f>
        <v/>
      </c>
      <c r="M6" s="11">
        <f>'Five Account Cost Model'!I5</f>
        <v/>
      </c>
      <c r="N6" s="11">
        <f>'Five Account Cost Model'!L5</f>
        <v/>
      </c>
      <c r="O6" s="2" t="n">
        <v>70</v>
      </c>
    </row>
    <row r="7">
      <c r="A7" s="2" t="inlineStr">
        <is>
          <t>Alpha Futures</t>
        </is>
      </c>
      <c r="B7" s="2" t="n">
        <v>9</v>
      </c>
      <c r="C7" s="2" t="n">
        <v>7</v>
      </c>
      <c r="D7" s="2" t="n">
        <v>7</v>
      </c>
      <c r="E7" s="2" t="n">
        <v>4</v>
      </c>
      <c r="F7" s="2" t="n">
        <v>8</v>
      </c>
      <c r="G7" s="2" t="n">
        <v>0.2</v>
      </c>
      <c r="H7" s="2" t="n">
        <v>0.2</v>
      </c>
      <c r="I7" s="2" t="n">
        <v>0.25</v>
      </c>
      <c r="J7" s="2" t="n">
        <v>0.15</v>
      </c>
      <c r="K7" s="2" t="n">
        <v>0.2</v>
      </c>
      <c r="L7" s="10">
        <f>SUMPRODUCT(B7:F7,G7:K7)*10</f>
        <v/>
      </c>
      <c r="M7" s="11">
        <f>'Five Account Cost Model'!I6</f>
        <v/>
      </c>
      <c r="N7" s="11">
        <f>'Five Account Cost Model'!L6</f>
        <v/>
      </c>
      <c r="O7" s="2" t="n">
        <v>70</v>
      </c>
    </row>
    <row r="8">
      <c r="A8" s="2" t="inlineStr">
        <is>
          <t>Tradeify</t>
        </is>
      </c>
      <c r="B8" s="2" t="n">
        <v>9</v>
      </c>
      <c r="C8" s="2" t="n">
        <v>9</v>
      </c>
      <c r="D8" s="2" t="n">
        <v>9</v>
      </c>
      <c r="E8" s="2" t="n">
        <v>10</v>
      </c>
      <c r="F8" s="2" t="n">
        <v>9</v>
      </c>
      <c r="G8" s="2" t="n">
        <v>0.2</v>
      </c>
      <c r="H8" s="2" t="n">
        <v>0.2</v>
      </c>
      <c r="I8" s="2" t="n">
        <v>0.25</v>
      </c>
      <c r="J8" s="2" t="n">
        <v>0.15</v>
      </c>
      <c r="K8" s="2" t="n">
        <v>0.2</v>
      </c>
      <c r="L8" s="10">
        <f>SUMPRODUCT(B8:F8,G8:K8)*10</f>
        <v/>
      </c>
      <c r="M8" s="11">
        <f>'Five Account Cost Model'!I7</f>
        <v/>
      </c>
      <c r="N8" s="11">
        <f>'Five Account Cost Model'!L7</f>
        <v/>
      </c>
      <c r="O8" s="2" t="n">
        <v>90</v>
      </c>
    </row>
    <row r="9">
      <c r="A9" s="2" t="inlineStr">
        <is>
          <t>Lucid Trading</t>
        </is>
      </c>
      <c r="B9" s="2" t="n">
        <v>8</v>
      </c>
      <c r="C9" s="2" t="n">
        <v>8</v>
      </c>
      <c r="D9" s="2" t="n">
        <v>9</v>
      </c>
      <c r="E9" s="2" t="n">
        <v>9</v>
      </c>
      <c r="F9" s="2" t="n">
        <v>8</v>
      </c>
      <c r="G9" s="2" t="n">
        <v>0.2</v>
      </c>
      <c r="H9" s="2" t="n">
        <v>0.2</v>
      </c>
      <c r="I9" s="2" t="n">
        <v>0.25</v>
      </c>
      <c r="J9" s="2" t="n">
        <v>0.15</v>
      </c>
      <c r="K9" s="2" t="n">
        <v>0.2</v>
      </c>
      <c r="L9" s="10">
        <f>SUMPRODUCT(B9:F9,G9:K9)*10</f>
        <v/>
      </c>
      <c r="M9" s="11">
        <f>'Five Account Cost Model'!I8</f>
        <v/>
      </c>
      <c r="N9" s="11">
        <f>'Five Account Cost Model'!L8</f>
        <v/>
      </c>
      <c r="O9" s="2" t="n">
        <v>90</v>
      </c>
    </row>
    <row r="10">
      <c r="A10" s="2" t="inlineStr">
        <is>
          <t>Topstep</t>
        </is>
      </c>
      <c r="B10" s="2" t="n">
        <v>8</v>
      </c>
      <c r="C10" s="2" t="n">
        <v>8</v>
      </c>
      <c r="D10" s="2" t="n">
        <v>8</v>
      </c>
      <c r="E10" s="2" t="n">
        <v>9</v>
      </c>
      <c r="F10" s="2" t="n">
        <v>9</v>
      </c>
      <c r="G10" s="2" t="n">
        <v>0.2</v>
      </c>
      <c r="H10" s="2" t="n">
        <v>0.2</v>
      </c>
      <c r="I10" s="2" t="n">
        <v>0.25</v>
      </c>
      <c r="J10" s="2" t="n">
        <v>0.15</v>
      </c>
      <c r="K10" s="2" t="n">
        <v>0.2</v>
      </c>
      <c r="L10" s="10">
        <f>SUMPRODUCT(B10:F10,G10:K10)*10</f>
        <v/>
      </c>
      <c r="M10" s="11">
        <f>'Five Account Cost Model'!I9</f>
        <v/>
      </c>
      <c r="N10" s="11">
        <f>'Five Account Cost Model'!L9</f>
        <v/>
      </c>
      <c r="O10" s="2" t="n">
        <v>80</v>
      </c>
    </row>
    <row r="11">
      <c r="A11" s="2" t="inlineStr">
        <is>
          <t>Take Profit Trader</t>
        </is>
      </c>
      <c r="B11" s="2" t="n">
        <v>6</v>
      </c>
      <c r="C11" s="2" t="n">
        <v>8</v>
      </c>
      <c r="D11" s="2" t="n">
        <v>10</v>
      </c>
      <c r="E11" s="2" t="n">
        <v>9</v>
      </c>
      <c r="F11" s="2" t="n">
        <v>8</v>
      </c>
      <c r="G11" s="2" t="n">
        <v>0.2</v>
      </c>
      <c r="H11" s="2" t="n">
        <v>0.2</v>
      </c>
      <c r="I11" s="2" t="n">
        <v>0.25</v>
      </c>
      <c r="J11" s="2" t="n">
        <v>0.15</v>
      </c>
      <c r="K11" s="2" t="n">
        <v>0.2</v>
      </c>
      <c r="L11" s="10">
        <f>SUMPRODUCT(B11:F11,G11:K11)*10</f>
        <v/>
      </c>
      <c r="M11" s="11">
        <f>'Five Account Cost Model'!I10</f>
        <v/>
      </c>
      <c r="N11" s="11">
        <f>'Five Account Cost Model'!L10</f>
        <v/>
      </c>
      <c r="O11" s="2" t="n">
        <v>100</v>
      </c>
    </row>
    <row r="12">
      <c r="A12" s="2" t="inlineStr">
        <is>
          <t>MyFundedFutures</t>
        </is>
      </c>
      <c r="B12" s="2" t="n">
        <v>8</v>
      </c>
      <c r="C12" s="2" t="n">
        <v>9</v>
      </c>
      <c r="D12" s="2" t="n">
        <v>8</v>
      </c>
      <c r="E12" s="2" t="n">
        <v>3</v>
      </c>
      <c r="F12" s="2" t="n">
        <v>8</v>
      </c>
      <c r="G12" s="2" t="n">
        <v>0.2</v>
      </c>
      <c r="H12" s="2" t="n">
        <v>0.2</v>
      </c>
      <c r="I12" s="2" t="n">
        <v>0.25</v>
      </c>
      <c r="J12" s="2" t="n">
        <v>0.15</v>
      </c>
      <c r="K12" s="2" t="n">
        <v>0.2</v>
      </c>
      <c r="L12" s="10">
        <f>SUMPRODUCT(B12:F12,G12:K12)*10</f>
        <v/>
      </c>
      <c r="M12" s="11">
        <f>'Five Account Cost Model'!I11</f>
        <v/>
      </c>
      <c r="N12" s="11">
        <f>'Five Account Cost Model'!L11</f>
        <v/>
      </c>
      <c r="O12" s="2" t="n">
        <v>80</v>
      </c>
    </row>
    <row r="13">
      <c r="A13" s="2" t="inlineStr">
        <is>
          <t>Bulenox</t>
        </is>
      </c>
      <c r="B13" s="2" t="n">
        <v>5</v>
      </c>
      <c r="C13" s="2" t="n">
        <v>6</v>
      </c>
      <c r="D13" s="2" t="n">
        <v>5</v>
      </c>
      <c r="E13" s="2" t="n">
        <v>4</v>
      </c>
      <c r="F13" s="2" t="n">
        <v>4</v>
      </c>
      <c r="G13" s="2" t="n">
        <v>0.2</v>
      </c>
      <c r="H13" s="2" t="n">
        <v>0.2</v>
      </c>
      <c r="I13" s="2" t="n">
        <v>0.25</v>
      </c>
      <c r="J13" s="2" t="n">
        <v>0.15</v>
      </c>
      <c r="K13" s="2" t="n">
        <v>0.2</v>
      </c>
      <c r="L13" s="10">
        <f>SUMPRODUCT(B13:F13,G13:K13)*10</f>
        <v/>
      </c>
      <c r="M13" s="11">
        <f>'Five Account Cost Model'!I12</f>
        <v/>
      </c>
      <c r="N13" s="11">
        <f>'Five Account Cost Model'!L12</f>
        <v/>
      </c>
      <c r="O13" s="2" t="n">
        <v>50</v>
      </c>
    </row>
    <row r="14">
      <c r="A14" s="2" t="inlineStr">
        <is>
          <t>Earn2Trade</t>
        </is>
      </c>
      <c r="B14" s="2" t="n">
        <v>5</v>
      </c>
      <c r="C14" s="2" t="n">
        <v>5</v>
      </c>
      <c r="D14" s="2" t="n">
        <v>6</v>
      </c>
      <c r="E14" s="2" t="n">
        <v>1</v>
      </c>
      <c r="F14" s="2" t="n">
        <v>9</v>
      </c>
      <c r="G14" s="2" t="n">
        <v>0.2</v>
      </c>
      <c r="H14" s="2" t="n">
        <v>0.2</v>
      </c>
      <c r="I14" s="2" t="n">
        <v>0.25</v>
      </c>
      <c r="J14" s="2" t="n">
        <v>0.15</v>
      </c>
      <c r="K14" s="2" t="n">
        <v>0.2</v>
      </c>
      <c r="L14" s="10">
        <f>SUMPRODUCT(B14:F14,G14:K14)*10</f>
        <v/>
      </c>
      <c r="M14" s="11">
        <f>'Five Account Cost Model'!I13</f>
        <v/>
      </c>
      <c r="N14" s="11">
        <f>'Five Account Cost Model'!L13</f>
        <v/>
      </c>
      <c r="O14" s="2" t="n">
        <v>60</v>
      </c>
    </row>
    <row r="15">
      <c r="A15" s="2" t="inlineStr">
        <is>
          <t>Elite Trader Funding</t>
        </is>
      </c>
      <c r="B15" s="2" t="n">
        <v>3</v>
      </c>
      <c r="C15" s="2" t="n">
        <v>6</v>
      </c>
      <c r="D15" s="2" t="n">
        <v>5</v>
      </c>
      <c r="E15" s="2" t="n">
        <v>6</v>
      </c>
      <c r="F15" s="2" t="n">
        <v>4</v>
      </c>
      <c r="G15" s="2" t="n">
        <v>0.2</v>
      </c>
      <c r="H15" s="2" t="n">
        <v>0.2</v>
      </c>
      <c r="I15" s="2" t="n">
        <v>0.25</v>
      </c>
      <c r="J15" s="2" t="n">
        <v>0.15</v>
      </c>
      <c r="K15" s="2" t="n">
        <v>0.2</v>
      </c>
      <c r="L15" s="10">
        <f>SUMPRODUCT(B15:F15,G15:K15)*10</f>
        <v/>
      </c>
      <c r="M15" s="11">
        <f>'Five Account Cost Model'!I14</f>
        <v/>
      </c>
      <c r="N15" s="11">
        <f>'Five Account Cost Model'!L14</f>
        <v/>
      </c>
      <c r="O15" s="2" t="n">
        <v>50</v>
      </c>
    </row>
  </sheetData>
  <mergeCells count="2">
    <mergeCell ref="A1:J1"/>
    <mergeCell ref="A2:J2"/>
  </mergeCells>
  <conditionalFormatting sqref="B6:F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:L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90" customWidth="1" min="4" max="4"/>
    <col width="14" customWidth="1" min="5" max="5"/>
    <col width="30" customWidth="1" min="6" max="6"/>
  </cols>
  <sheetData>
    <row r="1" ht="30" customHeight="1">
      <c r="A1" s="1" t="inlineStr">
        <is>
          <t>Source Links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Official company pages are prioritized. Third-party pricing references are labeled and should be verified at checkout.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ID</t>
        </is>
      </c>
      <c r="B4" s="4" t="inlineStr">
        <is>
          <t>Source</t>
        </is>
      </c>
      <c r="C4" s="4" t="inlineStr">
        <is>
          <t>Type</t>
        </is>
      </c>
      <c r="D4" s="4" t="inlineStr">
        <is>
          <t>URL</t>
        </is>
      </c>
      <c r="E4" s="4" t="inlineStr">
        <is>
          <t>Accessed</t>
        </is>
      </c>
      <c r="F4" s="4" t="inlineStr">
        <is>
          <t>Notes</t>
        </is>
      </c>
      <c r="G4" s="2" t="n"/>
      <c r="H4" s="2" t="n"/>
      <c r="I4" s="2" t="n"/>
      <c r="J4" s="2" t="n"/>
    </row>
    <row r="5">
      <c r="A5" s="2" t="n">
        <v>1</v>
      </c>
      <c r="B5" s="2" t="inlineStr">
        <is>
          <t>Apex rules</t>
        </is>
      </c>
      <c r="C5" s="2" t="inlineStr">
        <is>
          <t>Official</t>
        </is>
      </c>
      <c r="D5" s="16" t="inlineStr">
        <is>
          <t>https://support.apextraderfunding.com/hc/en-us/articles/46724640813083-EOD-Evaluations</t>
        </is>
      </c>
      <c r="E5" s="18" t="n">
        <v>46179</v>
      </c>
      <c r="F5" s="2" t="inlineStr"/>
      <c r="G5" s="2" t="n"/>
      <c r="H5" s="2" t="n"/>
      <c r="I5" s="2" t="n"/>
      <c r="J5" s="2" t="n"/>
    </row>
    <row r="6">
      <c r="A6" s="2" t="n">
        <v>2</v>
      </c>
      <c r="B6" s="2" t="inlineStr">
        <is>
          <t>Apex payouts</t>
        </is>
      </c>
      <c r="C6" s="2" t="inlineStr">
        <is>
          <t>Official</t>
        </is>
      </c>
      <c r="D6" s="16" t="inlineStr">
        <is>
          <t>https://support.apextraderfunding.com/hc/en-us/articles/47205823183003-EOD-Payouts</t>
        </is>
      </c>
      <c r="E6" s="18" t="n">
        <v>46179</v>
      </c>
      <c r="F6" s="2" t="inlineStr"/>
      <c r="G6" s="2" t="n"/>
      <c r="H6" s="2" t="n"/>
      <c r="I6" s="2" t="n"/>
      <c r="J6" s="2" t="n"/>
    </row>
    <row r="7">
      <c r="A7" s="2" t="n">
        <v>3</v>
      </c>
      <c r="B7" s="2" t="inlineStr">
        <is>
          <t>Apex pricing reference</t>
        </is>
      </c>
      <c r="C7" s="2" t="inlineStr">
        <is>
          <t>Third-party pricing reference</t>
        </is>
      </c>
      <c r="D7" s="16" t="inlineStr">
        <is>
          <t>https://propfirmmatch.com/futures/prop-firm-challenges/apex-trader-funding-standard-eod-1-step-50k</t>
        </is>
      </c>
      <c r="E7" s="18" t="n">
        <v>46179</v>
      </c>
      <c r="F7" s="2" t="inlineStr">
        <is>
          <t>Volatile; confirm at checkout</t>
        </is>
      </c>
      <c r="G7" s="2" t="n"/>
      <c r="H7" s="2" t="n"/>
      <c r="I7" s="2" t="n"/>
      <c r="J7" s="2" t="n"/>
    </row>
    <row r="8">
      <c r="A8" s="2" t="n">
        <v>4</v>
      </c>
      <c r="B8" s="2" t="inlineStr">
        <is>
          <t>Alpha overview</t>
        </is>
      </c>
      <c r="C8" s="2" t="inlineStr">
        <is>
          <t>Official</t>
        </is>
      </c>
      <c r="D8" s="16" t="inlineStr">
        <is>
          <t>https://help.alpha-futures.com/en/articles/9491980-alpha-futures-evaluation-qualified-trader-overview</t>
        </is>
      </c>
      <c r="E8" s="18" t="n">
        <v>46179</v>
      </c>
      <c r="F8" s="2" t="inlineStr"/>
      <c r="G8" s="2" t="n"/>
      <c r="H8" s="2" t="n"/>
      <c r="I8" s="2" t="n"/>
      <c r="J8" s="2" t="n"/>
    </row>
    <row r="9">
      <c r="A9" s="2" t="n">
        <v>5</v>
      </c>
      <c r="B9" s="2" t="inlineStr">
        <is>
          <t>Alpha pricing</t>
        </is>
      </c>
      <c r="C9" s="2" t="inlineStr">
        <is>
          <t>Official</t>
        </is>
      </c>
      <c r="D9" s="16" t="inlineStr">
        <is>
          <t>https://alpha-futures.com/how-it-works</t>
        </is>
      </c>
      <c r="E9" s="18" t="n">
        <v>46179</v>
      </c>
      <c r="F9" s="2" t="inlineStr"/>
      <c r="G9" s="2" t="n"/>
      <c r="H9" s="2" t="n"/>
      <c r="I9" s="2" t="n"/>
      <c r="J9" s="2" t="n"/>
    </row>
    <row r="10">
      <c r="A10" s="2" t="n">
        <v>6</v>
      </c>
      <c r="B10" s="2" t="inlineStr">
        <is>
          <t>Alpha terms</t>
        </is>
      </c>
      <c r="C10" s="2" t="inlineStr">
        <is>
          <t>Official</t>
        </is>
      </c>
      <c r="D10" s="16" t="inlineStr">
        <is>
          <t>https://alpha-futures.com/terms-and-conditions</t>
        </is>
      </c>
      <c r="E10" s="18" t="n">
        <v>46179</v>
      </c>
      <c r="F10" s="2" t="inlineStr"/>
      <c r="G10" s="2" t="n"/>
      <c r="H10" s="2" t="n"/>
      <c r="I10" s="2" t="n"/>
      <c r="J10" s="2" t="n"/>
    </row>
    <row r="11">
      <c r="A11" s="2" t="n">
        <v>7</v>
      </c>
      <c r="B11" s="2" t="inlineStr">
        <is>
          <t>Tradeify pricing</t>
        </is>
      </c>
      <c r="C11" s="2" t="inlineStr">
        <is>
          <t>Official</t>
        </is>
      </c>
      <c r="D11" s="16" t="inlineStr">
        <is>
          <t>https://help.tradeify.co/en/articles/14369021-tradeify-pricing-reference</t>
        </is>
      </c>
      <c r="E11" s="18" t="n">
        <v>46179</v>
      </c>
      <c r="F11" s="2" t="inlineStr"/>
      <c r="G11" s="2" t="n"/>
      <c r="H11" s="2" t="n"/>
      <c r="I11" s="2" t="n"/>
      <c r="J11" s="2" t="n"/>
    </row>
    <row r="12">
      <c r="A12" s="2" t="n">
        <v>8</v>
      </c>
      <c r="B12" s="2" t="inlineStr">
        <is>
          <t>Tradeify eval</t>
        </is>
      </c>
      <c r="C12" s="2" t="inlineStr">
        <is>
          <t>Official</t>
        </is>
      </c>
      <c r="D12" s="16" t="inlineStr">
        <is>
          <t>https://help.tradeify.co/en/articles/12853921-select-evaluation-accounts</t>
        </is>
      </c>
      <c r="E12" s="18" t="n">
        <v>46179</v>
      </c>
      <c r="F12" s="2" t="inlineStr"/>
      <c r="G12" s="2" t="n"/>
      <c r="H12" s="2" t="n"/>
      <c r="I12" s="2" t="n"/>
      <c r="J12" s="2" t="n"/>
    </row>
    <row r="13">
      <c r="A13" s="2" t="n">
        <v>9</v>
      </c>
      <c r="B13" s="2" t="inlineStr">
        <is>
          <t>Tradeify payouts</t>
        </is>
      </c>
      <c r="C13" s="2" t="inlineStr">
        <is>
          <t>Official</t>
        </is>
      </c>
      <c r="D13" s="16" t="inlineStr">
        <is>
          <t>https://help.tradeify.co/en/articles/12853966-select-flex-and-select-daily-payout-policies</t>
        </is>
      </c>
      <c r="E13" s="18" t="n">
        <v>46179</v>
      </c>
      <c r="F13" s="2" t="inlineStr"/>
      <c r="G13" s="2" t="n"/>
      <c r="H13" s="2" t="n"/>
      <c r="I13" s="2" t="n"/>
      <c r="J13" s="2" t="n"/>
    </row>
    <row r="14">
      <c r="A14" s="2" t="n">
        <v>10</v>
      </c>
      <c r="B14" s="2" t="inlineStr">
        <is>
          <t>Lucid pricing</t>
        </is>
      </c>
      <c r="C14" s="2" t="inlineStr">
        <is>
          <t>Official</t>
        </is>
      </c>
      <c r="D14" s="16" t="inlineStr">
        <is>
          <t>https://www.lucidtrading.com/</t>
        </is>
      </c>
      <c r="E14" s="18" t="n">
        <v>46179</v>
      </c>
      <c r="F14" s="2" t="inlineStr"/>
      <c r="G14" s="2" t="n"/>
      <c r="H14" s="2" t="n"/>
      <c r="I14" s="2" t="n"/>
      <c r="J14" s="2" t="n"/>
    </row>
    <row r="15">
      <c r="A15" s="2" t="n">
        <v>11</v>
      </c>
      <c r="B15" s="2" t="inlineStr">
        <is>
          <t>Lucid product</t>
        </is>
      </c>
      <c r="C15" s="2" t="inlineStr">
        <is>
          <t>Official</t>
        </is>
      </c>
      <c r="D15" s="16" t="inlineStr">
        <is>
          <t>https://lucidtrading.com/product/lucidtest-50k/</t>
        </is>
      </c>
      <c r="E15" s="18" t="n">
        <v>46179</v>
      </c>
      <c r="F15" s="2" t="inlineStr"/>
      <c r="G15" s="2" t="n"/>
      <c r="H15" s="2" t="n"/>
      <c r="I15" s="2" t="n"/>
      <c r="J15" s="2" t="n"/>
    </row>
    <row r="16">
      <c r="A16" s="2" t="n">
        <v>12</v>
      </c>
      <c r="B16" s="2" t="inlineStr">
        <is>
          <t>Lucid payouts</t>
        </is>
      </c>
      <c r="C16" s="2" t="inlineStr">
        <is>
          <t>Official</t>
        </is>
      </c>
      <c r="D16" s="16" t="inlineStr">
        <is>
          <t>https://support.lucidtrading.com/en/articles/12890092-lucidpro-payouts</t>
        </is>
      </c>
      <c r="E16" s="18" t="n">
        <v>46179</v>
      </c>
      <c r="F16" s="2" t="inlineStr"/>
      <c r="G16" s="2" t="n"/>
      <c r="H16" s="2" t="n"/>
      <c r="I16" s="2" t="n"/>
      <c r="J16" s="2" t="n"/>
    </row>
    <row r="17">
      <c r="A17" s="2" t="n">
        <v>13</v>
      </c>
      <c r="B17" s="2" t="inlineStr">
        <is>
          <t>Topstep pricing</t>
        </is>
      </c>
      <c r="C17" s="2" t="inlineStr">
        <is>
          <t>Official</t>
        </is>
      </c>
      <c r="D17" s="16" t="inlineStr">
        <is>
          <t>https://help.topstep.com/en/articles/9208217-topstep-pricing</t>
        </is>
      </c>
      <c r="E17" s="18" t="n">
        <v>46179</v>
      </c>
      <c r="F17" s="2" t="inlineStr"/>
      <c r="G17" s="2" t="n"/>
      <c r="H17" s="2" t="n"/>
      <c r="I17" s="2" t="n"/>
      <c r="J17" s="2" t="n"/>
    </row>
    <row r="18">
      <c r="A18" s="2" t="n">
        <v>14</v>
      </c>
      <c r="B18" s="2" t="inlineStr">
        <is>
          <t>Topstep parameters</t>
        </is>
      </c>
      <c r="C18" s="2" t="inlineStr">
        <is>
          <t>Official</t>
        </is>
      </c>
      <c r="D18" s="16" t="inlineStr">
        <is>
          <t>https://help.topstep.com/en/articles/8284197-trading-combine-parameters</t>
        </is>
      </c>
      <c r="E18" s="18" t="n">
        <v>46179</v>
      </c>
      <c r="F18" s="2" t="inlineStr"/>
      <c r="G18" s="2" t="n"/>
      <c r="H18" s="2" t="n"/>
      <c r="I18" s="2" t="n"/>
      <c r="J18" s="2" t="n"/>
    </row>
    <row r="19">
      <c r="A19" s="2" t="n">
        <v>15</v>
      </c>
      <c r="B19" s="2" t="inlineStr">
        <is>
          <t>Topstep payouts</t>
        </is>
      </c>
      <c r="C19" s="2" t="inlineStr">
        <is>
          <t>Official</t>
        </is>
      </c>
      <c r="D19" s="16" t="inlineStr">
        <is>
          <t>https://help.topstep.com/en/articles/8284233-topstep-payout-policy/</t>
        </is>
      </c>
      <c r="E19" s="18" t="n">
        <v>46179</v>
      </c>
      <c r="F19" s="2" t="inlineStr"/>
      <c r="G19" s="2" t="n"/>
      <c r="H19" s="2" t="n"/>
      <c r="I19" s="2" t="n"/>
      <c r="J19" s="2" t="n"/>
    </row>
    <row r="20">
      <c r="A20" s="2" t="n">
        <v>16</v>
      </c>
      <c r="B20" s="2" t="inlineStr">
        <is>
          <t>TPT pricing reference</t>
        </is>
      </c>
      <c r="C20" s="2" t="inlineStr">
        <is>
          <t>Third-party pricing reference</t>
        </is>
      </c>
      <c r="D20" s="16" t="inlineStr">
        <is>
          <t>https://funded.now/propfirm/takeprofit-trader/50000</t>
        </is>
      </c>
      <c r="E20" s="18" t="n">
        <v>46179</v>
      </c>
      <c r="F20" s="2" t="inlineStr">
        <is>
          <t>Volatile; confirm at checkout</t>
        </is>
      </c>
      <c r="G20" s="2" t="n"/>
      <c r="H20" s="2" t="n"/>
      <c r="I20" s="2" t="n"/>
      <c r="J20" s="2" t="n"/>
    </row>
    <row r="21">
      <c r="A21" s="2" t="n">
        <v>17</v>
      </c>
      <c r="B21" s="2" t="inlineStr">
        <is>
          <t>TPT payouts</t>
        </is>
      </c>
      <c r="C21" s="2" t="inlineStr">
        <is>
          <t>Official</t>
        </is>
      </c>
      <c r="D21" s="16" t="inlineStr">
        <is>
          <t>https://takeprofittraderhelp.zendesk.com/hc/en-us/articles/15172219527581-PRO-Account-Profit-Split-Withdrawal-Rules</t>
        </is>
      </c>
      <c r="E21" s="18" t="n">
        <v>46179</v>
      </c>
      <c r="F21" s="2" t="inlineStr"/>
      <c r="G21" s="2" t="n"/>
      <c r="H21" s="2" t="n"/>
      <c r="I21" s="2" t="n"/>
      <c r="J21" s="2" t="n"/>
    </row>
    <row r="22">
      <c r="A22" s="2" t="n">
        <v>18</v>
      </c>
      <c r="B22" s="2" t="inlineStr">
        <is>
          <t>MFFU rules</t>
        </is>
      </c>
      <c r="C22" s="2" t="inlineStr">
        <is>
          <t>Official</t>
        </is>
      </c>
      <c r="D22" s="16" t="inlineStr">
        <is>
          <t>https://myfundedfutures.com/plans/flex</t>
        </is>
      </c>
      <c r="E22" s="18" t="n">
        <v>46179</v>
      </c>
      <c r="F22" s="2" t="inlineStr"/>
      <c r="G22" s="2" t="n"/>
      <c r="H22" s="2" t="n"/>
      <c r="I22" s="2" t="n"/>
      <c r="J22" s="2" t="n"/>
    </row>
    <row r="23">
      <c r="A23" s="2" t="n">
        <v>19</v>
      </c>
      <c r="B23" s="2" t="inlineStr">
        <is>
          <t>MFFU pricing/accounts</t>
        </is>
      </c>
      <c r="C23" s="2" t="inlineStr">
        <is>
          <t>Official</t>
        </is>
      </c>
      <c r="D23" s="16" t="inlineStr">
        <is>
          <t>https://help.myfundedfutures.com/en/articles/11802636-traders-evaluation-simplified</t>
        </is>
      </c>
      <c r="E23" s="18" t="n">
        <v>46179</v>
      </c>
      <c r="F23" s="2" t="inlineStr"/>
      <c r="G23" s="2" t="n"/>
      <c r="H23" s="2" t="n"/>
      <c r="I23" s="2" t="n"/>
      <c r="J23" s="2" t="n"/>
    </row>
    <row r="24">
      <c r="A24" s="2" t="n">
        <v>20</v>
      </c>
      <c r="B24" s="2" t="inlineStr">
        <is>
          <t>Bulenox pricing</t>
        </is>
      </c>
      <c r="C24" s="2" t="inlineStr">
        <is>
          <t>Official</t>
        </is>
      </c>
      <c r="D24" s="16" t="inlineStr">
        <is>
          <t>https://bulenox.com/member/signup</t>
        </is>
      </c>
      <c r="E24" s="18" t="n">
        <v>46179</v>
      </c>
      <c r="F24" s="2" t="inlineStr"/>
      <c r="G24" s="2" t="n"/>
      <c r="H24" s="2" t="n"/>
      <c r="I24" s="2" t="n"/>
      <c r="J24" s="2" t="n"/>
    </row>
    <row r="25">
      <c r="A25" s="2" t="n">
        <v>21</v>
      </c>
      <c r="B25" s="2" t="inlineStr">
        <is>
          <t>Bulenox rules</t>
        </is>
      </c>
      <c r="C25" s="2" t="inlineStr">
        <is>
          <t>Official</t>
        </is>
      </c>
      <c r="D25" s="16" t="inlineStr">
        <is>
          <t>https://bulenox.com/help/qualification-account/</t>
        </is>
      </c>
      <c r="E25" s="18" t="n">
        <v>46179</v>
      </c>
      <c r="F25" s="2" t="inlineStr"/>
      <c r="G25" s="2" t="n"/>
      <c r="H25" s="2" t="n"/>
      <c r="I25" s="2" t="n"/>
      <c r="J25" s="2" t="n"/>
    </row>
    <row r="26">
      <c r="A26" s="2" t="n">
        <v>22</v>
      </c>
      <c r="B26" s="2" t="inlineStr">
        <is>
          <t>Bulenox payouts</t>
        </is>
      </c>
      <c r="C26" s="2" t="inlineStr">
        <is>
          <t>Official</t>
        </is>
      </c>
      <c r="D26" s="16" t="inlineStr">
        <is>
          <t>https://bulenox.com/help/master-account/</t>
        </is>
      </c>
      <c r="E26" s="18" t="n">
        <v>46179</v>
      </c>
      <c r="F26" s="2" t="inlineStr"/>
      <c r="G26" s="2" t="n"/>
      <c r="H26" s="2" t="n"/>
      <c r="I26" s="2" t="n"/>
      <c r="J26" s="2" t="n"/>
    </row>
    <row r="27">
      <c r="A27" s="2" t="n">
        <v>23</v>
      </c>
      <c r="B27" s="2" t="inlineStr">
        <is>
          <t>Earn2Trade pricing</t>
        </is>
      </c>
      <c r="C27" s="2" t="inlineStr">
        <is>
          <t>Official</t>
        </is>
      </c>
      <c r="D27" s="16" t="inlineStr">
        <is>
          <t>https://www.earn2trade.com/purchase</t>
        </is>
      </c>
      <c r="E27" s="18" t="n">
        <v>46179</v>
      </c>
      <c r="F27" s="2" t="inlineStr"/>
      <c r="G27" s="2" t="n"/>
      <c r="H27" s="2" t="n"/>
      <c r="I27" s="2" t="n"/>
      <c r="J27" s="2" t="n"/>
    </row>
    <row r="28">
      <c r="A28" s="2" t="n">
        <v>24</v>
      </c>
      <c r="B28" s="2" t="inlineStr">
        <is>
          <t>Earn2Trade rules</t>
        </is>
      </c>
      <c r="C28" s="2" t="inlineStr">
        <is>
          <t>Official</t>
        </is>
      </c>
      <c r="D28" s="16" t="inlineStr">
        <is>
          <t>https://help.earn2trade.com/en/articles/5941958-what-are-the-trader-career-path-rules</t>
        </is>
      </c>
      <c r="E28" s="18" t="n">
        <v>46179</v>
      </c>
      <c r="F28" s="2" t="inlineStr"/>
      <c r="G28" s="2" t="n"/>
      <c r="H28" s="2" t="n"/>
      <c r="I28" s="2" t="n"/>
      <c r="J28" s="2" t="n"/>
    </row>
    <row r="29">
      <c r="A29" s="2" t="n">
        <v>25</v>
      </c>
      <c r="B29" s="2" t="inlineStr">
        <is>
          <t>Earn2Trade funded</t>
        </is>
      </c>
      <c r="C29" s="2" t="inlineStr">
        <is>
          <t>Official</t>
        </is>
      </c>
      <c r="D29" s="16" t="inlineStr">
        <is>
          <t>https://help.earn2trade.com/en/articles/6877574-what-offer-will-i-receive-upon-completing-the-trader-career-path</t>
        </is>
      </c>
      <c r="E29" s="18" t="n">
        <v>46179</v>
      </c>
      <c r="F29" s="2" t="inlineStr"/>
      <c r="G29" s="2" t="n"/>
      <c r="H29" s="2" t="n"/>
      <c r="I29" s="2" t="n"/>
      <c r="J29" s="2" t="n"/>
    </row>
    <row r="30">
      <c r="A30" s="2" t="n">
        <v>26</v>
      </c>
      <c r="B30" s="2" t="inlineStr">
        <is>
          <t>Elite pricing</t>
        </is>
      </c>
      <c r="C30" s="2" t="inlineStr">
        <is>
          <t>Official</t>
        </is>
      </c>
      <c r="D30" s="16" t="inlineStr">
        <is>
          <t>https://shop.elitetraderfunding.com/products/50k-end-of-day-drawdown-evaluation-gift-card</t>
        </is>
      </c>
      <c r="E30" s="18" t="n">
        <v>46179</v>
      </c>
      <c r="F30" s="2" t="inlineStr"/>
      <c r="G30" s="2" t="n"/>
      <c r="H30" s="2" t="n"/>
      <c r="I30" s="2" t="n"/>
      <c r="J30" s="2" t="n"/>
    </row>
    <row r="31">
      <c r="A31" s="2" t="n">
        <v>27</v>
      </c>
      <c r="B31" s="2" t="inlineStr">
        <is>
          <t>Elite payouts</t>
        </is>
      </c>
      <c r="C31" s="2" t="inlineStr">
        <is>
          <t>Official</t>
        </is>
      </c>
      <c r="D31" s="16" t="inlineStr">
        <is>
          <t>https://help.elitetraderfunding.com/help/etf-payout-amounts-by-account-type</t>
        </is>
      </c>
      <c r="E31" s="18" t="n">
        <v>46179</v>
      </c>
      <c r="F31" s="2" t="inlineStr"/>
      <c r="G31" s="2" t="n"/>
      <c r="H31" s="2" t="n"/>
      <c r="I31" s="2" t="n"/>
      <c r="J31" s="2" t="n"/>
    </row>
    <row r="32">
      <c r="A32" s="2" t="n">
        <v>28</v>
      </c>
      <c r="B32" s="2" t="inlineStr">
        <is>
          <t>Trustpilot Apex</t>
        </is>
      </c>
      <c r="C32" s="2" t="inlineStr">
        <is>
          <t>Review platform</t>
        </is>
      </c>
      <c r="D32" s="16" t="inlineStr">
        <is>
          <t>https://www.trustpilot.com/review/apextraderfunding.com</t>
        </is>
      </c>
      <c r="E32" s="18" t="n">
        <v>46179</v>
      </c>
      <c r="F32" s="2" t="inlineStr"/>
      <c r="G32" s="2" t="n"/>
      <c r="H32" s="2" t="n"/>
      <c r="I32" s="2" t="n"/>
      <c r="J32" s="2" t="n"/>
    </row>
    <row r="33">
      <c r="A33" s="2" t="n">
        <v>29</v>
      </c>
      <c r="B33" s="2" t="inlineStr">
        <is>
          <t>Trustpilot Alpha</t>
        </is>
      </c>
      <c r="C33" s="2" t="inlineStr">
        <is>
          <t>Review platform</t>
        </is>
      </c>
      <c r="D33" s="16" t="inlineStr">
        <is>
          <t>https://www.trustpilot.com/review/alpha-futures.com</t>
        </is>
      </c>
      <c r="E33" s="18" t="n">
        <v>46179</v>
      </c>
      <c r="F33" s="2" t="inlineStr"/>
      <c r="G33" s="2" t="n"/>
      <c r="H33" s="2" t="n"/>
      <c r="I33" s="2" t="n"/>
      <c r="J33" s="2" t="n"/>
    </row>
    <row r="34">
      <c r="A34" s="2" t="n">
        <v>30</v>
      </c>
      <c r="B34" s="2" t="inlineStr">
        <is>
          <t>Trustpilot Tradeify</t>
        </is>
      </c>
      <c r="C34" s="2" t="inlineStr">
        <is>
          <t>Review platform</t>
        </is>
      </c>
      <c r="D34" s="16" t="inlineStr">
        <is>
          <t>https://www.trustpilot.com/review/tradeify.co</t>
        </is>
      </c>
      <c r="E34" s="18" t="n">
        <v>46179</v>
      </c>
      <c r="F34" s="2" t="inlineStr"/>
      <c r="G34" s="2" t="n"/>
      <c r="H34" s="2" t="n"/>
      <c r="I34" s="2" t="n"/>
      <c r="J34" s="2" t="n"/>
    </row>
    <row r="35">
      <c r="A35" s="2" t="n">
        <v>31</v>
      </c>
      <c r="B35" s="2" t="inlineStr">
        <is>
          <t>Trustpilot Lucid</t>
        </is>
      </c>
      <c r="C35" s="2" t="inlineStr">
        <is>
          <t>Review platform</t>
        </is>
      </c>
      <c r="D35" s="16" t="inlineStr">
        <is>
          <t>https://www.trustpilot.com/review/lucidtrading.com</t>
        </is>
      </c>
      <c r="E35" s="18" t="n">
        <v>46179</v>
      </c>
      <c r="F35" s="2" t="inlineStr"/>
      <c r="G35" s="2" t="n"/>
      <c r="H35" s="2" t="n"/>
      <c r="I35" s="2" t="n"/>
      <c r="J35" s="2" t="n"/>
    </row>
    <row r="36">
      <c r="A36" s="2" t="n">
        <v>32</v>
      </c>
      <c r="B36" s="2" t="inlineStr">
        <is>
          <t>Trustpilot Topstep</t>
        </is>
      </c>
      <c r="C36" s="2" t="inlineStr">
        <is>
          <t>Review platform</t>
        </is>
      </c>
      <c r="D36" s="16" t="inlineStr">
        <is>
          <t>https://www.trustpilot.com/review/topstep.com</t>
        </is>
      </c>
      <c r="E36" s="18" t="n">
        <v>46179</v>
      </c>
      <c r="F36" s="2" t="inlineStr"/>
      <c r="G36" s="2" t="n"/>
      <c r="H36" s="2" t="n"/>
      <c r="I36" s="2" t="n"/>
      <c r="J36" s="2" t="n"/>
    </row>
    <row r="37">
      <c r="A37" s="2" t="n">
        <v>33</v>
      </c>
      <c r="B37" s="2" t="inlineStr">
        <is>
          <t>Trustpilot TPT</t>
        </is>
      </c>
      <c r="C37" s="2" t="inlineStr">
        <is>
          <t>Review platform</t>
        </is>
      </c>
      <c r="D37" s="16" t="inlineStr">
        <is>
          <t>https://www.trustpilot.com/review/takeprofittrader.com</t>
        </is>
      </c>
      <c r="E37" s="18" t="n">
        <v>46179</v>
      </c>
      <c r="F37" s="2" t="inlineStr"/>
      <c r="G37" s="2" t="n"/>
      <c r="H37" s="2" t="n"/>
      <c r="I37" s="2" t="n"/>
      <c r="J37" s="2" t="n"/>
    </row>
    <row r="38">
      <c r="A38" s="2" t="n">
        <v>34</v>
      </c>
      <c r="B38" s="2" t="inlineStr">
        <is>
          <t>Trustpilot MFFU</t>
        </is>
      </c>
      <c r="C38" s="2" t="inlineStr">
        <is>
          <t>Review platform</t>
        </is>
      </c>
      <c r="D38" s="16" t="inlineStr">
        <is>
          <t>https://www.trustpilot.com/review/myfundedfutures.com</t>
        </is>
      </c>
      <c r="E38" s="18" t="n">
        <v>46179</v>
      </c>
      <c r="F38" s="2" t="inlineStr"/>
      <c r="G38" s="2" t="n"/>
      <c r="H38" s="2" t="n"/>
      <c r="I38" s="2" t="n"/>
      <c r="J38" s="2" t="n"/>
    </row>
    <row r="39">
      <c r="A39" s="2" t="n">
        <v>35</v>
      </c>
      <c r="B39" s="2" t="inlineStr">
        <is>
          <t>Trustpilot Earn2Trade</t>
        </is>
      </c>
      <c r="C39" s="2" t="inlineStr">
        <is>
          <t>Review platform</t>
        </is>
      </c>
      <c r="D39" s="16" t="inlineStr">
        <is>
          <t>https://www.trustpilot.com/review/www.earn2trade.com</t>
        </is>
      </c>
      <c r="E39" s="18" t="n">
        <v>46179</v>
      </c>
      <c r="F39" s="2" t="inlineStr"/>
      <c r="G39" s="2" t="n"/>
      <c r="H39" s="2" t="n"/>
      <c r="I39" s="2" t="n"/>
      <c r="J39" s="2" t="n"/>
    </row>
  </sheetData>
  <mergeCells count="2">
    <mergeCell ref="A1:J1"/>
    <mergeCell ref="A2:J2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</hyperlinks>
  <pageMargins left="0.75" right="0.75" top="1" bottom="1" header="0.5" footer="0.5"/>
  <pageSetup orientation="landscape" fitToWidth="1"/>
  <tableParts count="1">
    <tablePart xmlns:r="http://schemas.openxmlformats.org/officeDocument/2006/relationships" r:id="rId3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2026-06-06T21:55:16Z</dcterms:created>
  <dcterms:modified xsi:type="dcterms:W3CDTF">2026-06-06T21:55:16Z</dcterms:modified>
</cp:coreProperties>
</file>